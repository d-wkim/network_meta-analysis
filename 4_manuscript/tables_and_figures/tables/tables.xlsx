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github\d-wkim\network_meta-analysis\4_manuscript\tables_and_figures\"/>
    </mc:Choice>
  </mc:AlternateContent>
  <xr:revisionPtr revIDLastSave="0" documentId="13_ncr:1_{8FF675C4-F3DD-48E2-8D1F-CD205B95425D}" xr6:coauthVersionLast="47" xr6:coauthVersionMax="47" xr10:uidLastSave="{00000000-0000-0000-0000-000000000000}"/>
  <bookViews>
    <workbookView xWindow="9510" yWindow="0" windowWidth="9780" windowHeight="10170" firstSheet="3" activeTab="8" xr2:uid="{BB28B98E-6B5F-42F0-A3EF-EFB54B532E11}"/>
  </bookViews>
  <sheets>
    <sheet name="data" sheetId="1" r:id="rId1"/>
    <sheet name="continuous" sheetId="3" r:id="rId2"/>
    <sheet name="dichotomous" sheetId="2" r:id="rId3"/>
    <sheet name="ikdc" sheetId="4" r:id="rId4"/>
    <sheet name="lysholm" sheetId="5" r:id="rId5"/>
    <sheet name="tegner" sheetId="6" r:id="rId6"/>
    <sheet name="instrumented_laxity" sheetId="7" r:id="rId7"/>
    <sheet name="pivot_shift" sheetId="8" r:id="rId8"/>
    <sheet name="lachman" sheetId="9" r:id="rId9"/>
    <sheet name="graft_failure" sheetId="10" r:id="rId10"/>
  </sheets>
  <definedNames>
    <definedName name="_xlnm._FilterDatabase" localSheetId="0" hidden="1">data!$A$1:$Q$355</definedName>
    <definedName name="data">data!$A$1:$Q$355</definedName>
    <definedName name="Data_type">data!$D$2:$D$355</definedName>
    <definedName name="Effect_size">data!$G$2:$G$355</definedName>
    <definedName name="Graft_type">data!$C$2:$C$355</definedName>
    <definedName name="ID">data!$A$2:$A$355</definedName>
    <definedName name="IQR">data!$O$2:$O$355</definedName>
    <definedName name="Max">data!$J$2:$J$355</definedName>
    <definedName name="Median">data!$L$2:$L$355</definedName>
    <definedName name="Min">data!$I$2:$I$355</definedName>
    <definedName name="Outcome">data!$E$2:$E$355</definedName>
    <definedName name="Q1_">data!$M$2:$M$355</definedName>
    <definedName name="Q3_">data!$N$2:$N$355</definedName>
    <definedName name="Range">data!$K$2:$K$355</definedName>
    <definedName name="Sample_size">data!$F$2:$F$355</definedName>
    <definedName name="Scaled_effect_size">data!$P$2:$P$355</definedName>
    <definedName name="Standard_Deviation">data!$H$2:$H$355</definedName>
    <definedName name="Standard_error">data!$Q$2:$Q$355</definedName>
    <definedName name="Study">data!$B$2:$B$355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8" l="1" a="1"/>
  <c r="F2" i="8" s="1"/>
  <c r="G2" i="8" a="1"/>
  <c r="G2" i="8" s="1"/>
  <c r="H2" i="8" a="1"/>
  <c r="H2" i="8" s="1"/>
  <c r="I2" i="8" a="1"/>
  <c r="I2" i="8" s="1"/>
  <c r="C2" i="9" a="1"/>
  <c r="B2" i="9" a="1"/>
  <c r="A2" i="9" a="1"/>
  <c r="D2" i="8" a="1"/>
  <c r="C2" i="8" a="1"/>
  <c r="B2" i="8" a="1"/>
  <c r="A2" i="8" a="1"/>
  <c r="B2" i="7" a="1"/>
  <c r="C2" i="7" a="1"/>
  <c r="D2" i="7" a="1"/>
  <c r="E2" i="7" a="1"/>
  <c r="A2" i="7" a="1"/>
  <c r="B2" i="6" a="1"/>
  <c r="C2" i="6" a="1"/>
  <c r="D2" i="6" a="1"/>
  <c r="E2" i="6" a="1"/>
  <c r="A2" i="6" a="1"/>
  <c r="E2" i="5" a="1"/>
  <c r="D2" i="5" a="1"/>
  <c r="B2" i="5" a="1"/>
  <c r="A2" i="5" a="1"/>
  <c r="C2" i="5" a="1"/>
  <c r="K53" i="9" l="1"/>
  <c r="K45" i="9"/>
  <c r="K37" i="9"/>
  <c r="K29" i="9"/>
  <c r="K21" i="9"/>
  <c r="K13" i="9"/>
  <c r="K5" i="9"/>
  <c r="K30" i="9"/>
  <c r="K14" i="9"/>
  <c r="K52" i="9"/>
  <c r="K44" i="9"/>
  <c r="K36" i="9"/>
  <c r="K28" i="9"/>
  <c r="K20" i="9"/>
  <c r="K12" i="9"/>
  <c r="K4" i="9"/>
  <c r="K43" i="9"/>
  <c r="K35" i="9"/>
  <c r="K27" i="9"/>
  <c r="K19" i="9"/>
  <c r="K11" i="9"/>
  <c r="K3" i="9"/>
  <c r="K41" i="9"/>
  <c r="K33" i="9"/>
  <c r="K25" i="9"/>
  <c r="K17" i="9"/>
  <c r="K9" i="9"/>
  <c r="K51" i="9"/>
  <c r="K24" i="9"/>
  <c r="K8" i="9"/>
  <c r="K46" i="9"/>
  <c r="K38" i="9"/>
  <c r="K22" i="9"/>
  <c r="K6" i="9"/>
  <c r="K50" i="9"/>
  <c r="K42" i="9"/>
  <c r="K34" i="9"/>
  <c r="K26" i="9"/>
  <c r="K18" i="9"/>
  <c r="K10" i="9"/>
  <c r="K49" i="9"/>
  <c r="K48" i="9"/>
  <c r="K40" i="9"/>
  <c r="K32" i="9"/>
  <c r="K16" i="9"/>
  <c r="K47" i="9"/>
  <c r="K39" i="9"/>
  <c r="K31" i="9"/>
  <c r="K23" i="9"/>
  <c r="K15" i="9"/>
  <c r="K7" i="9"/>
  <c r="A2" i="9"/>
  <c r="B2" i="9"/>
  <c r="C2" i="9"/>
  <c r="E53" i="8"/>
  <c r="E45" i="8"/>
  <c r="E37" i="8"/>
  <c r="E29" i="8"/>
  <c r="E21" i="8"/>
  <c r="E13" i="8"/>
  <c r="E5" i="8"/>
  <c r="E44" i="8"/>
  <c r="E36" i="8"/>
  <c r="E28" i="8"/>
  <c r="E20" i="8"/>
  <c r="E4" i="8"/>
  <c r="E14" i="8"/>
  <c r="E52" i="8"/>
  <c r="E12" i="8"/>
  <c r="E51" i="8"/>
  <c r="E43" i="8"/>
  <c r="E35" i="8"/>
  <c r="E27" i="8"/>
  <c r="E19" i="8"/>
  <c r="E11" i="8"/>
  <c r="E3" i="8"/>
  <c r="E41" i="8"/>
  <c r="E33" i="8"/>
  <c r="E25" i="8"/>
  <c r="E17" i="8"/>
  <c r="E9" i="8"/>
  <c r="E50" i="8"/>
  <c r="E42" i="8"/>
  <c r="E34" i="8"/>
  <c r="E26" i="8"/>
  <c r="E18" i="8"/>
  <c r="E10" i="8"/>
  <c r="E38" i="8"/>
  <c r="E6" i="8"/>
  <c r="E49" i="8"/>
  <c r="E40" i="8"/>
  <c r="E32" i="8"/>
  <c r="E24" i="8"/>
  <c r="E16" i="8"/>
  <c r="E8" i="8"/>
  <c r="E48" i="8"/>
  <c r="E30" i="8"/>
  <c r="E47" i="8"/>
  <c r="E39" i="8"/>
  <c r="E31" i="8"/>
  <c r="E23" i="8"/>
  <c r="E15" i="8"/>
  <c r="E7" i="8"/>
  <c r="E46" i="8"/>
  <c r="E22" i="8"/>
  <c r="D2" i="8"/>
  <c r="C2" i="8"/>
  <c r="B2" i="8"/>
  <c r="A2" i="8"/>
  <c r="E2" i="7"/>
  <c r="D2" i="7"/>
  <c r="C2" i="7"/>
  <c r="B2" i="7"/>
  <c r="A2" i="7"/>
  <c r="E2" i="6"/>
  <c r="D2" i="6"/>
  <c r="C2" i="6"/>
  <c r="B2" i="6"/>
  <c r="A2" i="6"/>
  <c r="D2" i="5"/>
  <c r="E2" i="5"/>
  <c r="A2" i="5"/>
  <c r="B2" i="5"/>
  <c r="C2" i="5"/>
  <c r="C2" i="3" a="1"/>
  <c r="C2" i="3" s="1"/>
  <c r="A2" i="2" a="1"/>
  <c r="A2" i="2" s="1"/>
  <c r="I2" i="3" a="1"/>
  <c r="I2" i="3" s="1"/>
  <c r="H2" i="3" a="1"/>
  <c r="H2" i="3" s="1"/>
  <c r="G2" i="3" a="1"/>
  <c r="G2" i="3" s="1"/>
  <c r="F2" i="3" a="1"/>
  <c r="F2" i="3" s="1"/>
  <c r="E2" i="3" a="1"/>
  <c r="E2" i="3" s="1"/>
  <c r="D2" i="3" a="1"/>
  <c r="D2" i="3" s="1"/>
  <c r="O2" i="1" a="1"/>
  <c r="O2" i="1" s="1"/>
  <c r="K2" i="1" a="1"/>
  <c r="K2" i="1" s="1"/>
  <c r="A2" i="4" a="1"/>
  <c r="E2" i="4" a="1"/>
  <c r="D2" i="4" a="1"/>
  <c r="C2" i="4" a="1"/>
  <c r="B2" i="4" a="1"/>
  <c r="B2" i="3" a="1"/>
  <c r="A2" i="3" a="1"/>
  <c r="E2" i="8" l="1"/>
  <c r="A2" i="4"/>
  <c r="E2" i="4"/>
  <c r="D2" i="4"/>
  <c r="C2" i="4"/>
  <c r="B2" i="4"/>
  <c r="B2" i="3"/>
  <c r="A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<sst xmlns="http://schemas.openxmlformats.org/spreadsheetml/2006/main" count="1470" uniqueCount="99">
  <si>
    <t>Ageberg et al., 2009</t>
  </si>
  <si>
    <t>patellar</t>
  </si>
  <si>
    <t>continuous</t>
  </si>
  <si>
    <t>tegner</t>
  </si>
  <si>
    <t>hamstring</t>
  </si>
  <si>
    <t>Aglietti et al., 2004</t>
  </si>
  <si>
    <t>dichotomous</t>
  </si>
  <si>
    <t>lachman</t>
  </si>
  <si>
    <t>pivot shift</t>
  </si>
  <si>
    <t>instrumental laxity</t>
  </si>
  <si>
    <t>Ahldén et al., 2009</t>
  </si>
  <si>
    <t>lysholm</t>
  </si>
  <si>
    <t>Anderson et al., 2001</t>
  </si>
  <si>
    <t>Aune et al., 2001</t>
  </si>
  <si>
    <t>Barenius et al., 2010</t>
  </si>
  <si>
    <t>Barié et al., 2020</t>
  </si>
  <si>
    <t>Bottoni et al., 2015</t>
  </si>
  <si>
    <t>Calvert et al., 2025</t>
  </si>
  <si>
    <t>Anz et al., 2023</t>
  </si>
  <si>
    <t>graft rupture</t>
  </si>
  <si>
    <t>Ejerhed et al., 2003</t>
  </si>
  <si>
    <t>Eriksson et al., 2006</t>
  </si>
  <si>
    <t>Feller &amp; Webster, 2003</t>
  </si>
  <si>
    <t>Gifstad et al., 2013</t>
  </si>
  <si>
    <t>Holm et al., 2010</t>
  </si>
  <si>
    <t>Horstmann et al., 2022</t>
  </si>
  <si>
    <t>ikdc</t>
  </si>
  <si>
    <t>Kautzner et al., 2015</t>
  </si>
  <si>
    <t>Komzak et al., 2022</t>
  </si>
  <si>
    <t>Konrads et al., 2016</t>
  </si>
  <si>
    <t>Laoruengthana et al., 2009</t>
  </si>
  <si>
    <t>quadriceps</t>
  </si>
  <si>
    <t>Lawhorn et al., 2012</t>
  </si>
  <si>
    <t>Laxdal et al., 2005</t>
  </si>
  <si>
    <t>Li et al., 2015</t>
  </si>
  <si>
    <t>Beynnon et al., 2002</t>
  </si>
  <si>
    <t>Lui et al., 2012</t>
  </si>
  <si>
    <t>Lund et al., 2014</t>
  </si>
  <si>
    <t>Mohtadi et al., 2016</t>
  </si>
  <si>
    <t>Bi et al., 2018</t>
  </si>
  <si>
    <t>Moraiti et al., 2010</t>
  </si>
  <si>
    <t>Noh et al., 2011</t>
  </si>
  <si>
    <t>peroneus</t>
  </si>
  <si>
    <t>Pinczewski et al., 2007</t>
  </si>
  <si>
    <t>Popovic et al., 2024</t>
  </si>
  <si>
    <t>Sajovic et al., 2018</t>
  </si>
  <si>
    <t>Björnsson et al., 2016</t>
  </si>
  <si>
    <t>Sonnery-cottet et al., 2026</t>
  </si>
  <si>
    <t>Tang et al., 2023</t>
  </si>
  <si>
    <t>Taylor et al., 2009</t>
  </si>
  <si>
    <t>Vilchez-cavazos et al., 2020</t>
  </si>
  <si>
    <t>Webster et al., 2001</t>
  </si>
  <si>
    <t>Yadav et al., 2025</t>
  </si>
  <si>
    <t>Yoo et al., 2017</t>
  </si>
  <si>
    <t>Zaffagnini et al., 2011</t>
  </si>
  <si>
    <t>tibialis</t>
  </si>
  <si>
    <t>Butt et al., 2024</t>
  </si>
  <si>
    <t>Guglielmetti et al., 2021</t>
  </si>
  <si>
    <t>Harilainen et al., 2006</t>
  </si>
  <si>
    <t>Heijne &amp; Werner, 2010</t>
  </si>
  <si>
    <t>Ibrahim et al., 2005</t>
  </si>
  <si>
    <t>Iliopoulos et al., 2017</t>
  </si>
  <si>
    <t>Jansson et al., 2003</t>
  </si>
  <si>
    <t>Lidén et al., 2007</t>
  </si>
  <si>
    <t>Lind et al., 2020</t>
  </si>
  <si>
    <t>Lucidi et al., 2025</t>
  </si>
  <si>
    <t>Malik et al., 2026</t>
  </si>
  <si>
    <t>Matsumoto et al., 2006</t>
  </si>
  <si>
    <t>Achilles</t>
  </si>
  <si>
    <t>Papalia et al., 2015</t>
  </si>
  <si>
    <t>Sinding et al., 2020</t>
  </si>
  <si>
    <t>Smith et al., 2020</t>
  </si>
  <si>
    <t>Wipfler et al., 2011</t>
  </si>
  <si>
    <t>ID</t>
  </si>
  <si>
    <t>Study</t>
  </si>
  <si>
    <t>Graft type</t>
  </si>
  <si>
    <t>Data type</t>
  </si>
  <si>
    <t>Outcome</t>
  </si>
  <si>
    <t>Sample size</t>
  </si>
  <si>
    <t>Effect size</t>
  </si>
  <si>
    <t>Standard Deviation</t>
  </si>
  <si>
    <t>Min</t>
  </si>
  <si>
    <t>Median</t>
  </si>
  <si>
    <t>Max</t>
  </si>
  <si>
    <t>Scaled effect size</t>
  </si>
  <si>
    <t>Standard error</t>
  </si>
  <si>
    <t>Range</t>
  </si>
  <si>
    <t>IQR</t>
  </si>
  <si>
    <t>Q1</t>
  </si>
  <si>
    <t>Q3</t>
  </si>
  <si>
    <t>Standard deviation</t>
  </si>
  <si>
    <t>Proportion</t>
  </si>
  <si>
    <t>1+</t>
  </si>
  <si>
    <t>2+</t>
  </si>
  <si>
    <t>3+</t>
  </si>
  <si>
    <t>1+.Event</t>
  </si>
  <si>
    <t>1+.Proportion</t>
  </si>
  <si>
    <t>2+.Event</t>
  </si>
  <si>
    <t>2+.Proportion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</si>
</sst>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0.00000"/>
    <numFmt numFmtId="175" formatCode="0.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name val="Montserrat"/>
    </font>
    <font>
      <sz val="9"/>
      <name val="Montserrat"/>
    </font>
    <font>
      <sz val="10"/>
      <name val="Arial"/>
      <family val="2"/>
    </font>
    <font>
      <sz val="11"/>
      <name val="Aptos Narrow"/>
      <family val="2"/>
      <scheme val="minor"/>
    </font>
    <font>
      <sz val="9"/>
      <name val="Arial"/>
      <family val="2"/>
    </font>
    <font>
      <b/>
      <sz val="10"/>
      <name val="Arial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/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0" xfId="0" applyFont="1" applyFill="1" applyAlignment="1"/>
    <xf numFmtId="0" fontId="4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6" fillId="0" borderId="3" xfId="1" applyFont="1" applyFill="1" applyBorder="1" applyAlignment="1">
      <alignment vertical="center"/>
    </xf>
    <xf numFmtId="0" fontId="6" fillId="0" borderId="1" xfId="1" applyFont="1" applyFill="1" applyBorder="1" applyAlignment="1">
      <alignment vertical="center"/>
    </xf>
    <xf numFmtId="0" fontId="6" fillId="0" borderId="2" xfId="1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9" fillId="0" borderId="0" xfId="0" applyFont="1" applyFill="1" applyAlignment="1"/>
    <xf numFmtId="0" fontId="5" fillId="0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74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d-wkim/phd/blob/main/data/pdf/horstmann_2022.pdf" TargetMode="External"/><Relationship Id="rId299" Type="http://schemas.openxmlformats.org/officeDocument/2006/relationships/hyperlink" Target="https://github.com/d-wkim/phd/blob/main/data/pdf/sonnery-cottet_2026.pdf" TargetMode="External"/><Relationship Id="rId21" Type="http://schemas.openxmlformats.org/officeDocument/2006/relationships/hyperlink" Target="https://github.com/d-wkim/phd/blob/main/data/pdf/aune_2001.pdf" TargetMode="External"/><Relationship Id="rId63" Type="http://schemas.openxmlformats.org/officeDocument/2006/relationships/hyperlink" Target="https://github.com/d-wkim/phd/blob/main/data/pdf/calvert_2025.pdf" TargetMode="External"/><Relationship Id="rId159" Type="http://schemas.openxmlformats.org/officeDocument/2006/relationships/hyperlink" Target="https://github.com/d-wkim/phd/blob/main/data/pdf/laoruengthana_2009.pdf" TargetMode="External"/><Relationship Id="rId324" Type="http://schemas.openxmlformats.org/officeDocument/2006/relationships/hyperlink" Target="https://github.com/d-wkim/phd/blob/main/data/pdf/wipfler_2011.pdf" TargetMode="External"/><Relationship Id="rId170" Type="http://schemas.openxmlformats.org/officeDocument/2006/relationships/hyperlink" Target="https://github.com/d-wkim/phd/blob/main/data/pdf/laxdal_2005.pdf" TargetMode="External"/><Relationship Id="rId226" Type="http://schemas.openxmlformats.org/officeDocument/2006/relationships/hyperlink" Target="https://github.com/d-wkim/phd/blob/main/data/pdf/lund_2014.pdf" TargetMode="External"/><Relationship Id="rId268" Type="http://schemas.openxmlformats.org/officeDocument/2006/relationships/hyperlink" Target="https://github.com/d-wkim/phd/blob/main/data/pdf/pinczewski_2007.pdf" TargetMode="External"/><Relationship Id="rId32" Type="http://schemas.openxmlformats.org/officeDocument/2006/relationships/hyperlink" Target="https://github.com/d-wkim/phd/blob/main/data/pdf/bari&#233;_2020.pdf" TargetMode="External"/><Relationship Id="rId74" Type="http://schemas.openxmlformats.org/officeDocument/2006/relationships/hyperlink" Target="https://github.com/d-wkim/phd/blob/main/data/pdf/ejerhed_2003.pdf" TargetMode="External"/><Relationship Id="rId128" Type="http://schemas.openxmlformats.org/officeDocument/2006/relationships/hyperlink" Target="https://github.com/d-wkim/phd/blob/main/data/pdf/ibrahim_2005.pdf" TargetMode="External"/><Relationship Id="rId335" Type="http://schemas.openxmlformats.org/officeDocument/2006/relationships/hyperlink" Target="https://github.com/d-wkim/phd/blob/main/data/pdf/yadav_2025.pdf" TargetMode="External"/><Relationship Id="rId5" Type="http://schemas.openxmlformats.org/officeDocument/2006/relationships/hyperlink" Target="https://github.com/d-wkim/phd/blob/main/data/pdf/aglietti_2004.pdf" TargetMode="External"/><Relationship Id="rId181" Type="http://schemas.openxmlformats.org/officeDocument/2006/relationships/hyperlink" Target="https://github.com/d-wkim/phd/blob/main/data/pdf/li_2015.pdf" TargetMode="External"/><Relationship Id="rId237" Type="http://schemas.openxmlformats.org/officeDocument/2006/relationships/hyperlink" Target="https://github.com/d-wkim/phd/blob/main/data/pdf/malik_2026.pdf" TargetMode="External"/><Relationship Id="rId279" Type="http://schemas.openxmlformats.org/officeDocument/2006/relationships/hyperlink" Target="https://github.com/d-wkim/phd/blob/main/data/pdf/popovic_2024.pdf" TargetMode="External"/><Relationship Id="rId43" Type="http://schemas.openxmlformats.org/officeDocument/2006/relationships/hyperlink" Target="https://github.com/d-wkim/phd/blob/main/data/pdf/bi_2018.pdf" TargetMode="External"/><Relationship Id="rId139" Type="http://schemas.openxmlformats.org/officeDocument/2006/relationships/hyperlink" Target="https://github.com/d-wkim/phd/blob/main/data/pdf/jansson_2003.pdf" TargetMode="External"/><Relationship Id="rId290" Type="http://schemas.openxmlformats.org/officeDocument/2006/relationships/hyperlink" Target="https://github.com/d-wkim/phd/blob/main/data/pdf/sinding_2020.pdf" TargetMode="External"/><Relationship Id="rId304" Type="http://schemas.openxmlformats.org/officeDocument/2006/relationships/hyperlink" Target="https://github.com/d-wkim/phd/blob/main/data/pdf/sonnery-cottet_2026.pdf" TargetMode="External"/><Relationship Id="rId346" Type="http://schemas.openxmlformats.org/officeDocument/2006/relationships/hyperlink" Target="https://github.com/d-wkim/phd/blob/main/data/pdf/yoo_2017.pdf" TargetMode="External"/><Relationship Id="rId85" Type="http://schemas.openxmlformats.org/officeDocument/2006/relationships/hyperlink" Target="https://github.com/d-wkim/phd/blob/main/data/pdf/gifstad_2013.pdf" TargetMode="External"/><Relationship Id="rId150" Type="http://schemas.openxmlformats.org/officeDocument/2006/relationships/hyperlink" Target="https://github.com/d-wkim/phd/blob/main/data/pdf/komzak_2022.pdf" TargetMode="External"/><Relationship Id="rId192" Type="http://schemas.openxmlformats.org/officeDocument/2006/relationships/hyperlink" Target="https://github.com/d-wkim/phd/blob/main/data/pdf/lid&#233;n_2007.pdf" TargetMode="External"/><Relationship Id="rId206" Type="http://schemas.openxmlformats.org/officeDocument/2006/relationships/hyperlink" Target="https://github.com/d-wkim/phd/blob/main/data/pdf/lucidi_2025.pdf" TargetMode="External"/><Relationship Id="rId248" Type="http://schemas.openxmlformats.org/officeDocument/2006/relationships/hyperlink" Target="https://github.com/d-wkim/phd/blob/main/data/pdf/moraiti_2010.pdf" TargetMode="External"/><Relationship Id="rId12" Type="http://schemas.openxmlformats.org/officeDocument/2006/relationships/hyperlink" Target="https://github.com/d-wkim/phd/blob/main/data/pdf/ahld&#233;n_2009.pdf" TargetMode="External"/><Relationship Id="rId108" Type="http://schemas.openxmlformats.org/officeDocument/2006/relationships/hyperlink" Target="https://github.com/d-wkim/phd/blob/main/data/pdf/heijne_werner_2010.pdf" TargetMode="External"/><Relationship Id="rId315" Type="http://schemas.openxmlformats.org/officeDocument/2006/relationships/hyperlink" Target="https://github.com/d-wkim/phd/blob/main/data/pdf/taylor_2009.pdf" TargetMode="External"/><Relationship Id="rId54" Type="http://schemas.openxmlformats.org/officeDocument/2006/relationships/hyperlink" Target="https://github.com/d-wkim/phd/blob/main/data/pdf/bj&#246;rnsson_2016.pdf" TargetMode="External"/><Relationship Id="rId96" Type="http://schemas.openxmlformats.org/officeDocument/2006/relationships/hyperlink" Target="https://github.com/d-wkim/phd/blob/main/data/pdf/guglielmetti_2021.pdf" TargetMode="External"/><Relationship Id="rId161" Type="http://schemas.openxmlformats.org/officeDocument/2006/relationships/hyperlink" Target="https://github.com/d-wkim/phd/blob/main/data/pdf/laoruengthana_2009.pdf" TargetMode="External"/><Relationship Id="rId217" Type="http://schemas.openxmlformats.org/officeDocument/2006/relationships/hyperlink" Target="https://github.com/d-wkim/phd/blob/main/data/pdf/lui_2012.pdf" TargetMode="External"/><Relationship Id="rId259" Type="http://schemas.openxmlformats.org/officeDocument/2006/relationships/hyperlink" Target="https://github.com/d-wkim/phd/blob/main/data/pdf/papalia_2015.pdf" TargetMode="External"/><Relationship Id="rId23" Type="http://schemas.openxmlformats.org/officeDocument/2006/relationships/hyperlink" Target="https://github.com/d-wkim/phd/blob/main/data/pdf/barenius_2010.pdf" TargetMode="External"/><Relationship Id="rId119" Type="http://schemas.openxmlformats.org/officeDocument/2006/relationships/hyperlink" Target="https://github.com/d-wkim/phd/blob/main/data/pdf/horstmann_2022.pdf" TargetMode="External"/><Relationship Id="rId270" Type="http://schemas.openxmlformats.org/officeDocument/2006/relationships/hyperlink" Target="https://github.com/d-wkim/phd/blob/main/data/pdf/pinczewski_2007.pdf" TargetMode="External"/><Relationship Id="rId326" Type="http://schemas.openxmlformats.org/officeDocument/2006/relationships/hyperlink" Target="https://github.com/d-wkim/phd/blob/main/data/pdf/wipfler_2011.pdf" TargetMode="External"/><Relationship Id="rId65" Type="http://schemas.openxmlformats.org/officeDocument/2006/relationships/hyperlink" Target="https://github.com/d-wkim/phd/blob/main/data/pdf/calvert_2025.pdf" TargetMode="External"/><Relationship Id="rId130" Type="http://schemas.openxmlformats.org/officeDocument/2006/relationships/hyperlink" Target="https://github.com/d-wkim/phd/blob/main/data/pdf/iliopoulos_2017.pdf" TargetMode="External"/><Relationship Id="rId172" Type="http://schemas.openxmlformats.org/officeDocument/2006/relationships/hyperlink" Target="https://github.com/d-wkim/phd/blob/main/data/pdf/laxdal_2005.pdf" TargetMode="External"/><Relationship Id="rId228" Type="http://schemas.openxmlformats.org/officeDocument/2006/relationships/hyperlink" Target="https://github.com/d-wkim/phd/blob/main/data/pdf/malik_2026.pdf" TargetMode="External"/><Relationship Id="rId281" Type="http://schemas.openxmlformats.org/officeDocument/2006/relationships/hyperlink" Target="https://github.com/d-wkim/phd/blob/main/data/pdf/popovic_2024.pdf" TargetMode="External"/><Relationship Id="rId337" Type="http://schemas.openxmlformats.org/officeDocument/2006/relationships/hyperlink" Target="https://github.com/d-wkim/phd/blob/main/data/pdf/yadav_2025.pdf" TargetMode="External"/><Relationship Id="rId34" Type="http://schemas.openxmlformats.org/officeDocument/2006/relationships/hyperlink" Target="https://github.com/d-wkim/phd/blob/main/data/pdf/bari&#233;_2020.pdf" TargetMode="External"/><Relationship Id="rId76" Type="http://schemas.openxmlformats.org/officeDocument/2006/relationships/hyperlink" Target="https://github.com/d-wkim/phd/blob/main/data/pdf/eriksson_2006.pdf" TargetMode="External"/><Relationship Id="rId141" Type="http://schemas.openxmlformats.org/officeDocument/2006/relationships/hyperlink" Target="https://github.com/d-wkim/phd/blob/main/data/pdf/kautzner_2015.pdf" TargetMode="External"/><Relationship Id="rId7" Type="http://schemas.openxmlformats.org/officeDocument/2006/relationships/hyperlink" Target="https://github.com/d-wkim/phd/blob/main/data/pdf/aglietti_2004.pdf" TargetMode="External"/><Relationship Id="rId183" Type="http://schemas.openxmlformats.org/officeDocument/2006/relationships/hyperlink" Target="https://github.com/d-wkim/phd/blob/main/data/pdf/li_2015.pdf" TargetMode="External"/><Relationship Id="rId239" Type="http://schemas.openxmlformats.org/officeDocument/2006/relationships/hyperlink" Target="https://github.com/d-wkim/phd/blob/main/data/pdf/matsumoto_2006.pdf" TargetMode="External"/><Relationship Id="rId250" Type="http://schemas.openxmlformats.org/officeDocument/2006/relationships/hyperlink" Target="https://github.com/d-wkim/phd/blob/main/data/pdf/noh_2011.pdf" TargetMode="External"/><Relationship Id="rId292" Type="http://schemas.openxmlformats.org/officeDocument/2006/relationships/hyperlink" Target="https://github.com/d-wkim/phd/blob/main/data/pdf/smith_2020.pdf" TargetMode="External"/><Relationship Id="rId306" Type="http://schemas.openxmlformats.org/officeDocument/2006/relationships/hyperlink" Target="https://github.com/d-wkim/phd/blob/main/data/pdf/sonnery-cottet_2026.pdf" TargetMode="External"/><Relationship Id="rId45" Type="http://schemas.openxmlformats.org/officeDocument/2006/relationships/hyperlink" Target="https://github.com/d-wkim/phd/blob/main/data/pdf/bj&#246;rnsson_2016.pdf" TargetMode="External"/><Relationship Id="rId87" Type="http://schemas.openxmlformats.org/officeDocument/2006/relationships/hyperlink" Target="https://github.com/d-wkim/phd/blob/main/data/pdf/gifstad_2013.pdf" TargetMode="External"/><Relationship Id="rId110" Type="http://schemas.openxmlformats.org/officeDocument/2006/relationships/hyperlink" Target="https://github.com/d-wkim/phd/blob/main/data/pdf/heijne_werner_2010.pdf" TargetMode="External"/><Relationship Id="rId348" Type="http://schemas.openxmlformats.org/officeDocument/2006/relationships/hyperlink" Target="https://github.com/d-wkim/phd/blob/main/data/pdf/yoo_2017.pdf" TargetMode="External"/><Relationship Id="rId152" Type="http://schemas.openxmlformats.org/officeDocument/2006/relationships/hyperlink" Target="https://github.com/d-wkim/phd/blob/main/data/pdf/konrads_2016.pdf" TargetMode="External"/><Relationship Id="rId194" Type="http://schemas.openxmlformats.org/officeDocument/2006/relationships/hyperlink" Target="https://github.com/d-wkim/phd/blob/main/data/pdf/lind_2020.pdf" TargetMode="External"/><Relationship Id="rId208" Type="http://schemas.openxmlformats.org/officeDocument/2006/relationships/hyperlink" Target="https://github.com/d-wkim/phd/blob/main/data/pdf/lucidi_2025.pdf" TargetMode="External"/><Relationship Id="rId261" Type="http://schemas.openxmlformats.org/officeDocument/2006/relationships/hyperlink" Target="https://github.com/d-wkim/phd/blob/main/data/pdf/pinczewski_2007.pdf" TargetMode="External"/><Relationship Id="rId14" Type="http://schemas.openxmlformats.org/officeDocument/2006/relationships/hyperlink" Target="https://github.com/d-wkim/phd/blob/main/data/pdf/ahld&#233;n_2009.pdf" TargetMode="External"/><Relationship Id="rId56" Type="http://schemas.openxmlformats.org/officeDocument/2006/relationships/hyperlink" Target="https://github.com/d-wkim/phd/blob/main/data/pdf/bottoni_2015.pdf" TargetMode="External"/><Relationship Id="rId317" Type="http://schemas.openxmlformats.org/officeDocument/2006/relationships/hyperlink" Target="https://github.com/d-wkim/phd/blob/main/data/pdf/vilchez-cavazos_2020.pdf" TargetMode="External"/><Relationship Id="rId98" Type="http://schemas.openxmlformats.org/officeDocument/2006/relationships/hyperlink" Target="https://github.com/d-wkim/phd/blob/main/data/pdf/harilainen_2006.pdf" TargetMode="External"/><Relationship Id="rId121" Type="http://schemas.openxmlformats.org/officeDocument/2006/relationships/hyperlink" Target="https://github.com/d-wkim/phd/blob/main/data/pdf/horstmann_2022.pdf" TargetMode="External"/><Relationship Id="rId163" Type="http://schemas.openxmlformats.org/officeDocument/2006/relationships/hyperlink" Target="https://github.com/d-wkim/phd/blob/main/data/pdf/lawhorn_2012.pdf" TargetMode="External"/><Relationship Id="rId219" Type="http://schemas.openxmlformats.org/officeDocument/2006/relationships/hyperlink" Target="https://github.com/d-wkim/phd/blob/main/data/pdf/lui_2012.pdf" TargetMode="External"/><Relationship Id="rId230" Type="http://schemas.openxmlformats.org/officeDocument/2006/relationships/hyperlink" Target="https://github.com/d-wkim/phd/blob/main/data/pdf/malik_2026.pdf" TargetMode="External"/><Relationship Id="rId251" Type="http://schemas.openxmlformats.org/officeDocument/2006/relationships/hyperlink" Target="https://github.com/d-wkim/phd/blob/main/data/pdf/noh_2011.pdf" TargetMode="External"/><Relationship Id="rId25" Type="http://schemas.openxmlformats.org/officeDocument/2006/relationships/hyperlink" Target="https://github.com/d-wkim/phd/blob/main/data/pdf/barenius_2010.pdf" TargetMode="External"/><Relationship Id="rId46" Type="http://schemas.openxmlformats.org/officeDocument/2006/relationships/hyperlink" Target="https://github.com/d-wkim/phd/blob/main/data/pdf/bj&#246;rnsson_2016.pdf" TargetMode="External"/><Relationship Id="rId67" Type="http://schemas.openxmlformats.org/officeDocument/2006/relationships/hyperlink" Target="https://github.com/d-wkim/phd/blob/main/data/pdf/ejerhed_2003.pdf" TargetMode="External"/><Relationship Id="rId272" Type="http://schemas.openxmlformats.org/officeDocument/2006/relationships/hyperlink" Target="https://github.com/d-wkim/phd/blob/main/data/pdf/pinczewski_2007.pdf" TargetMode="External"/><Relationship Id="rId293" Type="http://schemas.openxmlformats.org/officeDocument/2006/relationships/hyperlink" Target="https://github.com/d-wkim/phd/blob/main/data/pdf/smith_2020.pdf" TargetMode="External"/><Relationship Id="rId307" Type="http://schemas.openxmlformats.org/officeDocument/2006/relationships/hyperlink" Target="https://github.com/d-wkim/phd/blob/main/data/pdf/tang_2023.pdf" TargetMode="External"/><Relationship Id="rId328" Type="http://schemas.openxmlformats.org/officeDocument/2006/relationships/hyperlink" Target="https://github.com/d-wkim/phd/blob/main/data/pdf/wipfler_2011.pdf" TargetMode="External"/><Relationship Id="rId349" Type="http://schemas.openxmlformats.org/officeDocument/2006/relationships/hyperlink" Target="https://github.com/d-wkim/phd/blob/main/data/pdf/yoo_2017.pdf" TargetMode="External"/><Relationship Id="rId88" Type="http://schemas.openxmlformats.org/officeDocument/2006/relationships/hyperlink" Target="https://github.com/d-wkim/phd/blob/main/data/pdf/gifstad_2013.pdf" TargetMode="External"/><Relationship Id="rId111" Type="http://schemas.openxmlformats.org/officeDocument/2006/relationships/hyperlink" Target="https://github.com/d-wkim/phd/blob/main/data/pdf/holm_2010.pdf" TargetMode="External"/><Relationship Id="rId132" Type="http://schemas.openxmlformats.org/officeDocument/2006/relationships/hyperlink" Target="https://github.com/d-wkim/phd/blob/main/data/pdf/iliopoulos_2017.pdf" TargetMode="External"/><Relationship Id="rId153" Type="http://schemas.openxmlformats.org/officeDocument/2006/relationships/hyperlink" Target="https://github.com/d-wkim/phd/blob/main/data/pdf/konrads_2016.pdf" TargetMode="External"/><Relationship Id="rId174" Type="http://schemas.openxmlformats.org/officeDocument/2006/relationships/hyperlink" Target="https://github.com/d-wkim/phd/blob/main/data/pdf/li_2015.pdf" TargetMode="External"/><Relationship Id="rId195" Type="http://schemas.openxmlformats.org/officeDocument/2006/relationships/hyperlink" Target="https://github.com/d-wkim/phd/blob/main/data/pdf/lind_2020.pdf" TargetMode="External"/><Relationship Id="rId209" Type="http://schemas.openxmlformats.org/officeDocument/2006/relationships/hyperlink" Target="https://github.com/d-wkim/phd/blob/main/data/pdf/lucidi_2025.pdf" TargetMode="External"/><Relationship Id="rId220" Type="http://schemas.openxmlformats.org/officeDocument/2006/relationships/hyperlink" Target="https://github.com/d-wkim/phd/blob/main/data/pdf/lui_2012.pdf" TargetMode="External"/><Relationship Id="rId241" Type="http://schemas.openxmlformats.org/officeDocument/2006/relationships/hyperlink" Target="https://github.com/d-wkim/phd/blob/main/data/pdf/matsumoto_2006.pdf" TargetMode="External"/><Relationship Id="rId15" Type="http://schemas.openxmlformats.org/officeDocument/2006/relationships/hyperlink" Target="https://github.com/d-wkim/phd/blob/main/data/pdf/anderson_2001.pdf" TargetMode="External"/><Relationship Id="rId36" Type="http://schemas.openxmlformats.org/officeDocument/2006/relationships/hyperlink" Target="https://github.com/d-wkim/phd/blob/main/data/pdf/beynnon_2002.pdf" TargetMode="External"/><Relationship Id="rId57" Type="http://schemas.openxmlformats.org/officeDocument/2006/relationships/hyperlink" Target="https://github.com/d-wkim/phd/blob/main/data/pdf/bottoni_2015.pdf" TargetMode="External"/><Relationship Id="rId262" Type="http://schemas.openxmlformats.org/officeDocument/2006/relationships/hyperlink" Target="https://github.com/d-wkim/phd/blob/main/data/pdf/pinczewski_2007.pdf" TargetMode="External"/><Relationship Id="rId283" Type="http://schemas.openxmlformats.org/officeDocument/2006/relationships/hyperlink" Target="https://github.com/d-wkim/phd/blob/main/data/pdf/popovic_2024.pdf" TargetMode="External"/><Relationship Id="rId318" Type="http://schemas.openxmlformats.org/officeDocument/2006/relationships/hyperlink" Target="https://github.com/d-wkim/phd/blob/main/data/pdf/vilchez-cavazos_2020.pdf" TargetMode="External"/><Relationship Id="rId339" Type="http://schemas.openxmlformats.org/officeDocument/2006/relationships/hyperlink" Target="https://github.com/d-wkim/phd/blob/main/data/pdf/yadav_2025.pdf" TargetMode="External"/><Relationship Id="rId78" Type="http://schemas.openxmlformats.org/officeDocument/2006/relationships/hyperlink" Target="https://github.com/d-wkim/phd/blob/main/data/pdf/eriksson_2006.pdf" TargetMode="External"/><Relationship Id="rId99" Type="http://schemas.openxmlformats.org/officeDocument/2006/relationships/hyperlink" Target="https://github.com/d-wkim/phd/blob/main/data/pdf/harilainen_2006.pdf" TargetMode="External"/><Relationship Id="rId101" Type="http://schemas.openxmlformats.org/officeDocument/2006/relationships/hyperlink" Target="https://github.com/d-wkim/phd/blob/main/data/pdf/harilainen_2006.pdf" TargetMode="External"/><Relationship Id="rId122" Type="http://schemas.openxmlformats.org/officeDocument/2006/relationships/hyperlink" Target="https://github.com/d-wkim/phd/blob/main/data/pdf/horstmann_2022.pdf" TargetMode="External"/><Relationship Id="rId143" Type="http://schemas.openxmlformats.org/officeDocument/2006/relationships/hyperlink" Target="https://github.com/d-wkim/phd/blob/main/data/pdf/kautzner_2015.pdf" TargetMode="External"/><Relationship Id="rId164" Type="http://schemas.openxmlformats.org/officeDocument/2006/relationships/hyperlink" Target="https://github.com/d-wkim/phd/blob/main/data/pdf/lawhorn_2012.pdf" TargetMode="External"/><Relationship Id="rId185" Type="http://schemas.openxmlformats.org/officeDocument/2006/relationships/hyperlink" Target="https://github.com/d-wkim/phd/blob/main/data/pdf/lid&#233;n_2007.pdf" TargetMode="External"/><Relationship Id="rId350" Type="http://schemas.openxmlformats.org/officeDocument/2006/relationships/hyperlink" Target="https://github.com/d-wkim/phd/blob/main/data/pdf/yoo_2017.pdf" TargetMode="External"/><Relationship Id="rId9" Type="http://schemas.openxmlformats.org/officeDocument/2006/relationships/hyperlink" Target="https://github.com/d-wkim/phd/blob/main/data/pdf/ahld&#233;n_2009.pdf" TargetMode="External"/><Relationship Id="rId210" Type="http://schemas.openxmlformats.org/officeDocument/2006/relationships/hyperlink" Target="https://github.com/d-wkim/phd/blob/main/data/pdf/lucidi_2025.pdf" TargetMode="External"/><Relationship Id="rId26" Type="http://schemas.openxmlformats.org/officeDocument/2006/relationships/hyperlink" Target="https://github.com/d-wkim/phd/blob/main/data/pdf/barenius_2010.pdf" TargetMode="External"/><Relationship Id="rId231" Type="http://schemas.openxmlformats.org/officeDocument/2006/relationships/hyperlink" Target="https://github.com/d-wkim/phd/blob/main/data/pdf/malik_2026.pdf" TargetMode="External"/><Relationship Id="rId252" Type="http://schemas.openxmlformats.org/officeDocument/2006/relationships/hyperlink" Target="https://github.com/d-wkim/phd/blob/main/data/pdf/noh_2011.pdf" TargetMode="External"/><Relationship Id="rId273" Type="http://schemas.openxmlformats.org/officeDocument/2006/relationships/hyperlink" Target="https://github.com/d-wkim/phd/blob/main/data/pdf/popovic_2024.pdf" TargetMode="External"/><Relationship Id="rId294" Type="http://schemas.openxmlformats.org/officeDocument/2006/relationships/hyperlink" Target="https://github.com/d-wkim/phd/blob/main/data/pdf/smith_2020.pdf" TargetMode="External"/><Relationship Id="rId308" Type="http://schemas.openxmlformats.org/officeDocument/2006/relationships/hyperlink" Target="https://github.com/d-wkim/phd/blob/main/data/pdf/tang_2023.pdf" TargetMode="External"/><Relationship Id="rId329" Type="http://schemas.openxmlformats.org/officeDocument/2006/relationships/hyperlink" Target="https://github.com/d-wkim/phd/blob/main/data/pdf/wipfler_2011.pdf" TargetMode="External"/><Relationship Id="rId47" Type="http://schemas.openxmlformats.org/officeDocument/2006/relationships/hyperlink" Target="https://github.com/d-wkim/phd/blob/main/data/pdf/bj&#246;rnsson_2016.pdf" TargetMode="External"/><Relationship Id="rId68" Type="http://schemas.openxmlformats.org/officeDocument/2006/relationships/hyperlink" Target="https://github.com/d-wkim/phd/blob/main/data/pdf/ejerhed_2003.pdf" TargetMode="External"/><Relationship Id="rId89" Type="http://schemas.openxmlformats.org/officeDocument/2006/relationships/hyperlink" Target="https://github.com/d-wkim/phd/blob/main/data/pdf/guglielmetti_2021.pdf" TargetMode="External"/><Relationship Id="rId112" Type="http://schemas.openxmlformats.org/officeDocument/2006/relationships/hyperlink" Target="https://github.com/d-wkim/phd/blob/main/data/pdf/holm_2010.pdf" TargetMode="External"/><Relationship Id="rId133" Type="http://schemas.openxmlformats.org/officeDocument/2006/relationships/hyperlink" Target="https://github.com/d-wkim/phd/blob/main/data/pdf/jansson_2003.pdf" TargetMode="External"/><Relationship Id="rId154" Type="http://schemas.openxmlformats.org/officeDocument/2006/relationships/hyperlink" Target="https://github.com/d-wkim/phd/blob/main/data/pdf/konrads_2016.pdf" TargetMode="External"/><Relationship Id="rId175" Type="http://schemas.openxmlformats.org/officeDocument/2006/relationships/hyperlink" Target="https://github.com/d-wkim/phd/blob/main/data/pdf/li_2015.pdf" TargetMode="External"/><Relationship Id="rId340" Type="http://schemas.openxmlformats.org/officeDocument/2006/relationships/hyperlink" Target="https://github.com/d-wkim/phd/blob/main/data/pdf/yadav_2025.pdf" TargetMode="External"/><Relationship Id="rId196" Type="http://schemas.openxmlformats.org/officeDocument/2006/relationships/hyperlink" Target="https://github.com/d-wkim/phd/blob/main/data/pdf/lind_2020.pdf" TargetMode="External"/><Relationship Id="rId200" Type="http://schemas.openxmlformats.org/officeDocument/2006/relationships/hyperlink" Target="https://github.com/d-wkim/phd/blob/main/data/pdf/lind_2020.pdf" TargetMode="External"/><Relationship Id="rId16" Type="http://schemas.openxmlformats.org/officeDocument/2006/relationships/hyperlink" Target="https://github.com/d-wkim/phd/blob/main/data/pdf/anderson_2001.pdf" TargetMode="External"/><Relationship Id="rId221" Type="http://schemas.openxmlformats.org/officeDocument/2006/relationships/hyperlink" Target="https://github.com/d-wkim/phd/blob/main/data/pdf/lund_2014.pdf" TargetMode="External"/><Relationship Id="rId242" Type="http://schemas.openxmlformats.org/officeDocument/2006/relationships/hyperlink" Target="https://github.com/d-wkim/phd/blob/main/data/pdf/matsumoto_2006.pdf" TargetMode="External"/><Relationship Id="rId263" Type="http://schemas.openxmlformats.org/officeDocument/2006/relationships/hyperlink" Target="https://github.com/d-wkim/phd/blob/main/data/pdf/pinczewski_2007.pdf" TargetMode="External"/><Relationship Id="rId284" Type="http://schemas.openxmlformats.org/officeDocument/2006/relationships/hyperlink" Target="https://github.com/d-wkim/phd/blob/main/data/pdf/popovic_2024.pdf" TargetMode="External"/><Relationship Id="rId319" Type="http://schemas.openxmlformats.org/officeDocument/2006/relationships/hyperlink" Target="https://github.com/d-wkim/phd/blob/main/data/pdf/vilchez-cavazos_2020.pdf" TargetMode="External"/><Relationship Id="rId37" Type="http://schemas.openxmlformats.org/officeDocument/2006/relationships/hyperlink" Target="https://github.com/d-wkim/phd/blob/main/data/pdf/beynnon_2002.pdf" TargetMode="External"/><Relationship Id="rId58" Type="http://schemas.openxmlformats.org/officeDocument/2006/relationships/hyperlink" Target="https://github.com/d-wkim/phd/blob/main/data/pdf/bottoni_2015.pdf" TargetMode="External"/><Relationship Id="rId79" Type="http://schemas.openxmlformats.org/officeDocument/2006/relationships/hyperlink" Target="https://github.com/d-wkim/phd/blob/main/data/pdf/feller_webster_2003.pdf" TargetMode="External"/><Relationship Id="rId102" Type="http://schemas.openxmlformats.org/officeDocument/2006/relationships/hyperlink" Target="https://github.com/d-wkim/phd/blob/main/data/pdf/harilainen_2006.pdf" TargetMode="External"/><Relationship Id="rId123" Type="http://schemas.openxmlformats.org/officeDocument/2006/relationships/hyperlink" Target="https://github.com/d-wkim/phd/blob/main/data/pdf/ibrahim_2005.pdf" TargetMode="External"/><Relationship Id="rId144" Type="http://schemas.openxmlformats.org/officeDocument/2006/relationships/hyperlink" Target="https://github.com/d-wkim/phd/blob/main/data/pdf/kautzner_2015.pdf" TargetMode="External"/><Relationship Id="rId330" Type="http://schemas.openxmlformats.org/officeDocument/2006/relationships/hyperlink" Target="https://github.com/d-wkim/phd/blob/main/data/pdf/wipfler_2011.pdf" TargetMode="External"/><Relationship Id="rId90" Type="http://schemas.openxmlformats.org/officeDocument/2006/relationships/hyperlink" Target="https://github.com/d-wkim/phd/blob/main/data/pdf/guglielmetti_2021.pdf" TargetMode="External"/><Relationship Id="rId165" Type="http://schemas.openxmlformats.org/officeDocument/2006/relationships/hyperlink" Target="https://github.com/d-wkim/phd/blob/main/data/pdf/laxdal_2005.pdf" TargetMode="External"/><Relationship Id="rId186" Type="http://schemas.openxmlformats.org/officeDocument/2006/relationships/hyperlink" Target="https://github.com/d-wkim/phd/blob/main/data/pdf/lid&#233;n_2007.pdf" TargetMode="External"/><Relationship Id="rId351" Type="http://schemas.openxmlformats.org/officeDocument/2006/relationships/hyperlink" Target="https://github.com/d-wkim/phd/blob/main/data/pdf/zaffagnini_2011.pdf" TargetMode="External"/><Relationship Id="rId211" Type="http://schemas.openxmlformats.org/officeDocument/2006/relationships/hyperlink" Target="https://github.com/d-wkim/phd/blob/main/data/pdf/lucidi_2025.pdf" TargetMode="External"/><Relationship Id="rId232" Type="http://schemas.openxmlformats.org/officeDocument/2006/relationships/hyperlink" Target="https://github.com/d-wkim/phd/blob/main/data/pdf/malik_2026.pdf" TargetMode="External"/><Relationship Id="rId253" Type="http://schemas.openxmlformats.org/officeDocument/2006/relationships/hyperlink" Target="https://github.com/d-wkim/phd/blob/main/data/pdf/noh_2011.pdf" TargetMode="External"/><Relationship Id="rId274" Type="http://schemas.openxmlformats.org/officeDocument/2006/relationships/hyperlink" Target="https://github.com/d-wkim/phd/blob/main/data/pdf/popovic_2024.pdf" TargetMode="External"/><Relationship Id="rId295" Type="http://schemas.openxmlformats.org/officeDocument/2006/relationships/hyperlink" Target="https://github.com/d-wkim/phd/blob/main/data/pdf/smith_2020.pdf" TargetMode="External"/><Relationship Id="rId309" Type="http://schemas.openxmlformats.org/officeDocument/2006/relationships/hyperlink" Target="https://github.com/d-wkim/phd/blob/main/data/pdf/tang_2023.pdf" TargetMode="External"/><Relationship Id="rId27" Type="http://schemas.openxmlformats.org/officeDocument/2006/relationships/hyperlink" Target="https://github.com/d-wkim/phd/blob/main/data/pdf/bari&#233;_2020.pdf" TargetMode="External"/><Relationship Id="rId48" Type="http://schemas.openxmlformats.org/officeDocument/2006/relationships/hyperlink" Target="https://github.com/d-wkim/phd/blob/main/data/pdf/bj&#246;rnsson_2016.pdf" TargetMode="External"/><Relationship Id="rId69" Type="http://schemas.openxmlformats.org/officeDocument/2006/relationships/hyperlink" Target="https://github.com/d-wkim/phd/blob/main/data/pdf/ejerhed_2003.pdf" TargetMode="External"/><Relationship Id="rId113" Type="http://schemas.openxmlformats.org/officeDocument/2006/relationships/hyperlink" Target="https://github.com/d-wkim/phd/blob/main/data/pdf/holm_2010.pdf" TargetMode="External"/><Relationship Id="rId134" Type="http://schemas.openxmlformats.org/officeDocument/2006/relationships/hyperlink" Target="https://github.com/d-wkim/phd/blob/main/data/pdf/jansson_2003.pdf" TargetMode="External"/><Relationship Id="rId320" Type="http://schemas.openxmlformats.org/officeDocument/2006/relationships/hyperlink" Target="https://github.com/d-wkim/phd/blob/main/data/pdf/vilchez-cavazos_2020.pdf" TargetMode="External"/><Relationship Id="rId80" Type="http://schemas.openxmlformats.org/officeDocument/2006/relationships/hyperlink" Target="https://github.com/d-wkim/phd/blob/main/data/pdf/feller_webster_2003.pdf" TargetMode="External"/><Relationship Id="rId155" Type="http://schemas.openxmlformats.org/officeDocument/2006/relationships/hyperlink" Target="https://github.com/d-wkim/phd/blob/main/data/pdf/konrads_2016.pdf" TargetMode="External"/><Relationship Id="rId176" Type="http://schemas.openxmlformats.org/officeDocument/2006/relationships/hyperlink" Target="https://github.com/d-wkim/phd/blob/main/data/pdf/li_2015.pdf" TargetMode="External"/><Relationship Id="rId197" Type="http://schemas.openxmlformats.org/officeDocument/2006/relationships/hyperlink" Target="https://github.com/d-wkim/phd/blob/main/data/pdf/lind_2020.pdf" TargetMode="External"/><Relationship Id="rId341" Type="http://schemas.openxmlformats.org/officeDocument/2006/relationships/hyperlink" Target="https://github.com/d-wkim/phd/blob/main/data/pdf/yoo_2017.pdf" TargetMode="External"/><Relationship Id="rId201" Type="http://schemas.openxmlformats.org/officeDocument/2006/relationships/hyperlink" Target="https://github.com/d-wkim/phd/blob/main/data/pdf/lucidi_2025.pdf" TargetMode="External"/><Relationship Id="rId222" Type="http://schemas.openxmlformats.org/officeDocument/2006/relationships/hyperlink" Target="https://github.com/d-wkim/phd/blob/main/data/pdf/lund_2014.pdf" TargetMode="External"/><Relationship Id="rId243" Type="http://schemas.openxmlformats.org/officeDocument/2006/relationships/hyperlink" Target="https://github.com/d-wkim/phd/blob/main/data/pdf/mohtadi_2016a.pdf" TargetMode="External"/><Relationship Id="rId264" Type="http://schemas.openxmlformats.org/officeDocument/2006/relationships/hyperlink" Target="https://github.com/d-wkim/phd/blob/main/data/pdf/pinczewski_2007.pdf" TargetMode="External"/><Relationship Id="rId285" Type="http://schemas.openxmlformats.org/officeDocument/2006/relationships/hyperlink" Target="https://github.com/d-wkim/phd/blob/main/data/pdf/sajovic_2018.pdf" TargetMode="External"/><Relationship Id="rId17" Type="http://schemas.openxmlformats.org/officeDocument/2006/relationships/hyperlink" Target="https://github.com/d-wkim/phd/blob/main/data/pdf/anderson_2001.pdf" TargetMode="External"/><Relationship Id="rId38" Type="http://schemas.openxmlformats.org/officeDocument/2006/relationships/hyperlink" Target="https://github.com/d-wkim/phd/blob/main/data/pdf/beynnon_2002.pdf" TargetMode="External"/><Relationship Id="rId59" Type="http://schemas.openxmlformats.org/officeDocument/2006/relationships/hyperlink" Target="https://github.com/d-wkim/phd/blob/main/data/pdf/butt_2024.pdf" TargetMode="External"/><Relationship Id="rId103" Type="http://schemas.openxmlformats.org/officeDocument/2006/relationships/hyperlink" Target="https://github.com/d-wkim/phd/blob/main/data/pdf/harilainen_2006.pdf" TargetMode="External"/><Relationship Id="rId124" Type="http://schemas.openxmlformats.org/officeDocument/2006/relationships/hyperlink" Target="https://github.com/d-wkim/phd/blob/main/data/pdf/ibrahim_2005.pdf" TargetMode="External"/><Relationship Id="rId310" Type="http://schemas.openxmlformats.org/officeDocument/2006/relationships/hyperlink" Target="https://github.com/d-wkim/phd/blob/main/data/pdf/tang_2023.pdf" TargetMode="External"/><Relationship Id="rId70" Type="http://schemas.openxmlformats.org/officeDocument/2006/relationships/hyperlink" Target="https://github.com/d-wkim/phd/blob/main/data/pdf/ejerhed_2003.pdf" TargetMode="External"/><Relationship Id="rId91" Type="http://schemas.openxmlformats.org/officeDocument/2006/relationships/hyperlink" Target="https://github.com/d-wkim/phd/blob/main/data/pdf/guglielmetti_2021.pdf" TargetMode="External"/><Relationship Id="rId145" Type="http://schemas.openxmlformats.org/officeDocument/2006/relationships/hyperlink" Target="https://github.com/d-wkim/phd/blob/main/data/pdf/kautzner_2015.pdf" TargetMode="External"/><Relationship Id="rId166" Type="http://schemas.openxmlformats.org/officeDocument/2006/relationships/hyperlink" Target="https://github.com/d-wkim/phd/blob/main/data/pdf/laxdal_2005.pdf" TargetMode="External"/><Relationship Id="rId187" Type="http://schemas.openxmlformats.org/officeDocument/2006/relationships/hyperlink" Target="https://github.com/d-wkim/phd/blob/main/data/pdf/lid&#233;n_2007.pdf" TargetMode="External"/><Relationship Id="rId331" Type="http://schemas.openxmlformats.org/officeDocument/2006/relationships/hyperlink" Target="https://github.com/d-wkim/phd/blob/main/data/pdf/wipfler_2011.pdf" TargetMode="External"/><Relationship Id="rId352" Type="http://schemas.openxmlformats.org/officeDocument/2006/relationships/hyperlink" Target="https://github.com/d-wkim/phd/blob/main/data/pdf/zaffagnini_2011.pdf" TargetMode="External"/><Relationship Id="rId1" Type="http://schemas.openxmlformats.org/officeDocument/2006/relationships/hyperlink" Target="https://github.com/d-wkim/phd/blob/main/data/pdf/ageberg_2009.pdf" TargetMode="External"/><Relationship Id="rId212" Type="http://schemas.openxmlformats.org/officeDocument/2006/relationships/hyperlink" Target="https://github.com/d-wkim/phd/blob/main/data/pdf/lucidi_2025.pdf" TargetMode="External"/><Relationship Id="rId233" Type="http://schemas.openxmlformats.org/officeDocument/2006/relationships/hyperlink" Target="https://github.com/d-wkim/phd/blob/main/data/pdf/malik_2026.pdf" TargetMode="External"/><Relationship Id="rId254" Type="http://schemas.openxmlformats.org/officeDocument/2006/relationships/hyperlink" Target="https://github.com/d-wkim/phd/blob/main/data/pdf/noh_2011.pdf" TargetMode="External"/><Relationship Id="rId28" Type="http://schemas.openxmlformats.org/officeDocument/2006/relationships/hyperlink" Target="https://github.com/d-wkim/phd/blob/main/data/pdf/bari&#233;_2020.pdf" TargetMode="External"/><Relationship Id="rId49" Type="http://schemas.openxmlformats.org/officeDocument/2006/relationships/hyperlink" Target="https://github.com/d-wkim/phd/blob/main/data/pdf/bj&#246;rnsson_2016.pdf" TargetMode="External"/><Relationship Id="rId114" Type="http://schemas.openxmlformats.org/officeDocument/2006/relationships/hyperlink" Target="https://github.com/d-wkim/phd/blob/main/data/pdf/holm_2010.pdf" TargetMode="External"/><Relationship Id="rId275" Type="http://schemas.openxmlformats.org/officeDocument/2006/relationships/hyperlink" Target="https://github.com/d-wkim/phd/blob/main/data/pdf/popovic_2024.pdf" TargetMode="External"/><Relationship Id="rId296" Type="http://schemas.openxmlformats.org/officeDocument/2006/relationships/hyperlink" Target="https://github.com/d-wkim/phd/blob/main/data/pdf/smith_2020.pdf" TargetMode="External"/><Relationship Id="rId300" Type="http://schemas.openxmlformats.org/officeDocument/2006/relationships/hyperlink" Target="https://github.com/d-wkim/phd/blob/main/data/pdf/sonnery-cottet_2026.pdf" TargetMode="External"/><Relationship Id="rId60" Type="http://schemas.openxmlformats.org/officeDocument/2006/relationships/hyperlink" Target="https://github.com/d-wkim/phd/blob/main/data/pdf/butt_2024.pdf" TargetMode="External"/><Relationship Id="rId81" Type="http://schemas.openxmlformats.org/officeDocument/2006/relationships/hyperlink" Target="https://github.com/d-wkim/phd/blob/main/data/pdf/feller_webster_2003.pdf" TargetMode="External"/><Relationship Id="rId135" Type="http://schemas.openxmlformats.org/officeDocument/2006/relationships/hyperlink" Target="https://github.com/d-wkim/phd/blob/main/data/pdf/jansson_2003.pdf" TargetMode="External"/><Relationship Id="rId156" Type="http://schemas.openxmlformats.org/officeDocument/2006/relationships/hyperlink" Target="https://github.com/d-wkim/phd/blob/main/data/pdf/konrads_2016.pdf" TargetMode="External"/><Relationship Id="rId177" Type="http://schemas.openxmlformats.org/officeDocument/2006/relationships/hyperlink" Target="https://github.com/d-wkim/phd/blob/main/data/pdf/li_2015.pdf" TargetMode="External"/><Relationship Id="rId198" Type="http://schemas.openxmlformats.org/officeDocument/2006/relationships/hyperlink" Target="https://github.com/d-wkim/phd/blob/main/data/pdf/lind_2020.pdf" TargetMode="External"/><Relationship Id="rId321" Type="http://schemas.openxmlformats.org/officeDocument/2006/relationships/hyperlink" Target="https://github.com/d-wkim/phd/blob/main/data/pdf/webster_2001.pdf" TargetMode="External"/><Relationship Id="rId342" Type="http://schemas.openxmlformats.org/officeDocument/2006/relationships/hyperlink" Target="https://github.com/d-wkim/phd/blob/main/data/pdf/yoo_2017.pdf" TargetMode="External"/><Relationship Id="rId202" Type="http://schemas.openxmlformats.org/officeDocument/2006/relationships/hyperlink" Target="https://github.com/d-wkim/phd/blob/main/data/pdf/lucidi_2025.pdf" TargetMode="External"/><Relationship Id="rId223" Type="http://schemas.openxmlformats.org/officeDocument/2006/relationships/hyperlink" Target="https://github.com/d-wkim/phd/blob/main/data/pdf/lund_2014.pdf" TargetMode="External"/><Relationship Id="rId244" Type="http://schemas.openxmlformats.org/officeDocument/2006/relationships/hyperlink" Target="https://github.com/d-wkim/phd/blob/main/data/pdf/mohtadi_2016a.pdf" TargetMode="External"/><Relationship Id="rId18" Type="http://schemas.openxmlformats.org/officeDocument/2006/relationships/hyperlink" Target="https://github.com/d-wkim/phd/blob/main/data/pdf/anderson_2001.pdf" TargetMode="External"/><Relationship Id="rId39" Type="http://schemas.openxmlformats.org/officeDocument/2006/relationships/hyperlink" Target="https://github.com/d-wkim/phd/blob/main/data/pdf/bi_2018.pdf" TargetMode="External"/><Relationship Id="rId265" Type="http://schemas.openxmlformats.org/officeDocument/2006/relationships/hyperlink" Target="https://github.com/d-wkim/phd/blob/main/data/pdf/pinczewski_2007.pdf" TargetMode="External"/><Relationship Id="rId286" Type="http://schemas.openxmlformats.org/officeDocument/2006/relationships/hyperlink" Target="https://github.com/d-wkim/phd/blob/main/data/pdf/sajovic_2018.pdf" TargetMode="External"/><Relationship Id="rId50" Type="http://schemas.openxmlformats.org/officeDocument/2006/relationships/hyperlink" Target="https://github.com/d-wkim/phd/blob/main/data/pdf/bj&#246;rnsson_2016.pdf" TargetMode="External"/><Relationship Id="rId104" Type="http://schemas.openxmlformats.org/officeDocument/2006/relationships/hyperlink" Target="https://github.com/d-wkim/phd/blob/main/data/pdf/harilainen_2006.pdf" TargetMode="External"/><Relationship Id="rId125" Type="http://schemas.openxmlformats.org/officeDocument/2006/relationships/hyperlink" Target="https://github.com/d-wkim/phd/blob/main/data/pdf/ibrahim_2005.pdf" TargetMode="External"/><Relationship Id="rId146" Type="http://schemas.openxmlformats.org/officeDocument/2006/relationships/hyperlink" Target="https://github.com/d-wkim/phd/blob/main/data/pdf/kautzner_2015.pdf" TargetMode="External"/><Relationship Id="rId167" Type="http://schemas.openxmlformats.org/officeDocument/2006/relationships/hyperlink" Target="https://github.com/d-wkim/phd/blob/main/data/pdf/laxdal_2005.pdf" TargetMode="External"/><Relationship Id="rId188" Type="http://schemas.openxmlformats.org/officeDocument/2006/relationships/hyperlink" Target="https://github.com/d-wkim/phd/blob/main/data/pdf/lid&#233;n_2007.pdf" TargetMode="External"/><Relationship Id="rId311" Type="http://schemas.openxmlformats.org/officeDocument/2006/relationships/hyperlink" Target="https://github.com/d-wkim/phd/blob/main/data/pdf/taylor_2009.pdf" TargetMode="External"/><Relationship Id="rId332" Type="http://schemas.openxmlformats.org/officeDocument/2006/relationships/hyperlink" Target="https://github.com/d-wkim/phd/blob/main/data/pdf/wipfler_2011.pdf" TargetMode="External"/><Relationship Id="rId353" Type="http://schemas.openxmlformats.org/officeDocument/2006/relationships/hyperlink" Target="https://github.com/d-wkim/phd/blob/main/data/pdf/zaffagnini_2011.pdf" TargetMode="External"/><Relationship Id="rId71" Type="http://schemas.openxmlformats.org/officeDocument/2006/relationships/hyperlink" Target="https://github.com/d-wkim/phd/blob/main/data/pdf/ejerhed_2003.pdf" TargetMode="External"/><Relationship Id="rId92" Type="http://schemas.openxmlformats.org/officeDocument/2006/relationships/hyperlink" Target="https://github.com/d-wkim/phd/blob/main/data/pdf/guglielmetti_2021.pdf" TargetMode="External"/><Relationship Id="rId213" Type="http://schemas.openxmlformats.org/officeDocument/2006/relationships/hyperlink" Target="https://github.com/d-wkim/phd/blob/main/data/pdf/lui_2012.pdf" TargetMode="External"/><Relationship Id="rId234" Type="http://schemas.openxmlformats.org/officeDocument/2006/relationships/hyperlink" Target="https://github.com/d-wkim/phd/blob/main/data/pdf/malik_2026.pdf" TargetMode="External"/><Relationship Id="rId2" Type="http://schemas.openxmlformats.org/officeDocument/2006/relationships/hyperlink" Target="https://github.com/d-wkim/phd/blob/main/data/pdf/ageberg_2009.pdf" TargetMode="External"/><Relationship Id="rId29" Type="http://schemas.openxmlformats.org/officeDocument/2006/relationships/hyperlink" Target="https://github.com/d-wkim/phd/blob/main/data/pdf/bari&#233;_2020.pdf" TargetMode="External"/><Relationship Id="rId255" Type="http://schemas.openxmlformats.org/officeDocument/2006/relationships/hyperlink" Target="https://github.com/d-wkim/phd/blob/main/data/pdf/noh_2011.pdf" TargetMode="External"/><Relationship Id="rId276" Type="http://schemas.openxmlformats.org/officeDocument/2006/relationships/hyperlink" Target="https://github.com/d-wkim/phd/blob/main/data/pdf/popovic_2024.pdf" TargetMode="External"/><Relationship Id="rId297" Type="http://schemas.openxmlformats.org/officeDocument/2006/relationships/hyperlink" Target="https://github.com/d-wkim/phd/blob/main/data/pdf/sonnery-cottet_2026.pdf" TargetMode="External"/><Relationship Id="rId40" Type="http://schemas.openxmlformats.org/officeDocument/2006/relationships/hyperlink" Target="https://github.com/d-wkim/phd/blob/main/data/pdf/bi_2018.pdf" TargetMode="External"/><Relationship Id="rId115" Type="http://schemas.openxmlformats.org/officeDocument/2006/relationships/hyperlink" Target="https://github.com/d-wkim/phd/blob/main/data/pdf/horstmann_2022.pdf" TargetMode="External"/><Relationship Id="rId136" Type="http://schemas.openxmlformats.org/officeDocument/2006/relationships/hyperlink" Target="https://github.com/d-wkim/phd/blob/main/data/pdf/jansson_2003.pdf" TargetMode="External"/><Relationship Id="rId157" Type="http://schemas.openxmlformats.org/officeDocument/2006/relationships/hyperlink" Target="https://github.com/d-wkim/phd/blob/main/data/pdf/konrads_2016.pdf" TargetMode="External"/><Relationship Id="rId178" Type="http://schemas.openxmlformats.org/officeDocument/2006/relationships/hyperlink" Target="https://github.com/d-wkim/phd/blob/main/data/pdf/li_2015.pdf" TargetMode="External"/><Relationship Id="rId301" Type="http://schemas.openxmlformats.org/officeDocument/2006/relationships/hyperlink" Target="https://github.com/d-wkim/phd/blob/main/data/pdf/sonnery-cottet_2026.pdf" TargetMode="External"/><Relationship Id="rId322" Type="http://schemas.openxmlformats.org/officeDocument/2006/relationships/hyperlink" Target="https://github.com/d-wkim/phd/blob/main/data/pdf/webster_2001.pdf" TargetMode="External"/><Relationship Id="rId343" Type="http://schemas.openxmlformats.org/officeDocument/2006/relationships/hyperlink" Target="https://github.com/d-wkim/phd/blob/main/data/pdf/yoo_2017.pdf" TargetMode="External"/><Relationship Id="rId61" Type="http://schemas.openxmlformats.org/officeDocument/2006/relationships/hyperlink" Target="https://github.com/d-wkim/phd/blob/main/data/pdf/butt_2024.pdf" TargetMode="External"/><Relationship Id="rId82" Type="http://schemas.openxmlformats.org/officeDocument/2006/relationships/hyperlink" Target="https://github.com/d-wkim/phd/blob/main/data/pdf/feller_webster_2003.pdf" TargetMode="External"/><Relationship Id="rId199" Type="http://schemas.openxmlformats.org/officeDocument/2006/relationships/hyperlink" Target="https://github.com/d-wkim/phd/blob/main/data/pdf/lind_2020.pdf" TargetMode="External"/><Relationship Id="rId203" Type="http://schemas.openxmlformats.org/officeDocument/2006/relationships/hyperlink" Target="https://github.com/d-wkim/phd/blob/main/data/pdf/lucidi_2025.pdf" TargetMode="External"/><Relationship Id="rId19" Type="http://schemas.openxmlformats.org/officeDocument/2006/relationships/hyperlink" Target="https://github.com/d-wkim/phd/blob/main/data/pdf/anz_2023.pdf" TargetMode="External"/><Relationship Id="rId224" Type="http://schemas.openxmlformats.org/officeDocument/2006/relationships/hyperlink" Target="https://github.com/d-wkim/phd/blob/main/data/pdf/lund_2014.pdf" TargetMode="External"/><Relationship Id="rId245" Type="http://schemas.openxmlformats.org/officeDocument/2006/relationships/hyperlink" Target="https://github.com/d-wkim/phd/blob/main/data/pdf/moraiti_2010.pdf" TargetMode="External"/><Relationship Id="rId266" Type="http://schemas.openxmlformats.org/officeDocument/2006/relationships/hyperlink" Target="https://github.com/d-wkim/phd/blob/main/data/pdf/pinczewski_2007.pdf" TargetMode="External"/><Relationship Id="rId287" Type="http://schemas.openxmlformats.org/officeDocument/2006/relationships/hyperlink" Target="https://github.com/d-wkim/phd/blob/main/data/pdf/sajovic_2018.pdf" TargetMode="External"/><Relationship Id="rId30" Type="http://schemas.openxmlformats.org/officeDocument/2006/relationships/hyperlink" Target="https://github.com/d-wkim/phd/blob/main/data/pdf/bari&#233;_2020.pdf" TargetMode="External"/><Relationship Id="rId105" Type="http://schemas.openxmlformats.org/officeDocument/2006/relationships/hyperlink" Target="https://github.com/d-wkim/phd/blob/main/data/pdf/harilainen_2006.pdf" TargetMode="External"/><Relationship Id="rId126" Type="http://schemas.openxmlformats.org/officeDocument/2006/relationships/hyperlink" Target="https://github.com/d-wkim/phd/blob/main/data/pdf/ibrahim_2005.pdf" TargetMode="External"/><Relationship Id="rId147" Type="http://schemas.openxmlformats.org/officeDocument/2006/relationships/hyperlink" Target="https://github.com/d-wkim/phd/blob/main/data/pdf/komzak_2022.pdf" TargetMode="External"/><Relationship Id="rId168" Type="http://schemas.openxmlformats.org/officeDocument/2006/relationships/hyperlink" Target="https://github.com/d-wkim/phd/blob/main/data/pdf/laxdal_2005.pdf" TargetMode="External"/><Relationship Id="rId312" Type="http://schemas.openxmlformats.org/officeDocument/2006/relationships/hyperlink" Target="https://github.com/d-wkim/phd/blob/main/data/pdf/taylor_2009.pdf" TargetMode="External"/><Relationship Id="rId333" Type="http://schemas.openxmlformats.org/officeDocument/2006/relationships/hyperlink" Target="https://github.com/d-wkim/phd/blob/main/data/pdf/yadav_2025.pdf" TargetMode="External"/><Relationship Id="rId354" Type="http://schemas.openxmlformats.org/officeDocument/2006/relationships/hyperlink" Target="https://github.com/d-wkim/phd/blob/main/data/pdf/zaffagnini_2011.pdf" TargetMode="External"/><Relationship Id="rId51" Type="http://schemas.openxmlformats.org/officeDocument/2006/relationships/hyperlink" Target="https://github.com/d-wkim/phd/blob/main/data/pdf/bj&#246;rnsson_2016.pdf" TargetMode="External"/><Relationship Id="rId72" Type="http://schemas.openxmlformats.org/officeDocument/2006/relationships/hyperlink" Target="https://github.com/d-wkim/phd/blob/main/data/pdf/ejerhed_2003.pdf" TargetMode="External"/><Relationship Id="rId93" Type="http://schemas.openxmlformats.org/officeDocument/2006/relationships/hyperlink" Target="https://github.com/d-wkim/phd/blob/main/data/pdf/guglielmetti_2021.pdf" TargetMode="External"/><Relationship Id="rId189" Type="http://schemas.openxmlformats.org/officeDocument/2006/relationships/hyperlink" Target="https://github.com/d-wkim/phd/blob/main/data/pdf/lid&#233;n_2007.pdf" TargetMode="External"/><Relationship Id="rId3" Type="http://schemas.openxmlformats.org/officeDocument/2006/relationships/hyperlink" Target="https://github.com/d-wkim/phd/blob/main/data/pdf/aglietti_2004.pdf" TargetMode="External"/><Relationship Id="rId214" Type="http://schemas.openxmlformats.org/officeDocument/2006/relationships/hyperlink" Target="https://github.com/d-wkim/phd/blob/main/data/pdf/lui_2012.pdf" TargetMode="External"/><Relationship Id="rId235" Type="http://schemas.openxmlformats.org/officeDocument/2006/relationships/hyperlink" Target="https://github.com/d-wkim/phd/blob/main/data/pdf/malik_2026.pdf" TargetMode="External"/><Relationship Id="rId256" Type="http://schemas.openxmlformats.org/officeDocument/2006/relationships/hyperlink" Target="https://github.com/d-wkim/phd/blob/main/data/pdf/noh_2011.pdf" TargetMode="External"/><Relationship Id="rId277" Type="http://schemas.openxmlformats.org/officeDocument/2006/relationships/hyperlink" Target="https://github.com/d-wkim/phd/blob/main/data/pdf/popovic_2024.pdf" TargetMode="External"/><Relationship Id="rId298" Type="http://schemas.openxmlformats.org/officeDocument/2006/relationships/hyperlink" Target="https://github.com/d-wkim/phd/blob/main/data/pdf/sonnery-cottet_2026.pdf" TargetMode="External"/><Relationship Id="rId116" Type="http://schemas.openxmlformats.org/officeDocument/2006/relationships/hyperlink" Target="https://github.com/d-wkim/phd/blob/main/data/pdf/horstmann_2022.pdf" TargetMode="External"/><Relationship Id="rId137" Type="http://schemas.openxmlformats.org/officeDocument/2006/relationships/hyperlink" Target="https://github.com/d-wkim/phd/blob/main/data/pdf/jansson_2003.pdf" TargetMode="External"/><Relationship Id="rId158" Type="http://schemas.openxmlformats.org/officeDocument/2006/relationships/hyperlink" Target="https://github.com/d-wkim/phd/blob/main/data/pdf/konrads_2016.pdf" TargetMode="External"/><Relationship Id="rId302" Type="http://schemas.openxmlformats.org/officeDocument/2006/relationships/hyperlink" Target="https://github.com/d-wkim/phd/blob/main/data/pdf/sonnery-cottet_2026.pdf" TargetMode="External"/><Relationship Id="rId323" Type="http://schemas.openxmlformats.org/officeDocument/2006/relationships/hyperlink" Target="https://github.com/d-wkim/phd/blob/main/data/pdf/wipfler_2011.pdf" TargetMode="External"/><Relationship Id="rId344" Type="http://schemas.openxmlformats.org/officeDocument/2006/relationships/hyperlink" Target="https://github.com/d-wkim/phd/blob/main/data/pdf/yoo_2017.pdf" TargetMode="External"/><Relationship Id="rId20" Type="http://schemas.openxmlformats.org/officeDocument/2006/relationships/hyperlink" Target="https://github.com/d-wkim/phd/blob/main/data/pdf/anz_2023.pdf" TargetMode="External"/><Relationship Id="rId41" Type="http://schemas.openxmlformats.org/officeDocument/2006/relationships/hyperlink" Target="https://github.com/d-wkim/phd/blob/main/data/pdf/bi_2018.pdf" TargetMode="External"/><Relationship Id="rId62" Type="http://schemas.openxmlformats.org/officeDocument/2006/relationships/hyperlink" Target="https://github.com/d-wkim/phd/blob/main/data/pdf/butt_2024.pdf" TargetMode="External"/><Relationship Id="rId83" Type="http://schemas.openxmlformats.org/officeDocument/2006/relationships/hyperlink" Target="https://github.com/d-wkim/phd/blob/main/data/pdf/feller_webster_2003.pdf" TargetMode="External"/><Relationship Id="rId179" Type="http://schemas.openxmlformats.org/officeDocument/2006/relationships/hyperlink" Target="https://github.com/d-wkim/phd/blob/main/data/pdf/li_2015.pdf" TargetMode="External"/><Relationship Id="rId190" Type="http://schemas.openxmlformats.org/officeDocument/2006/relationships/hyperlink" Target="https://github.com/d-wkim/phd/blob/main/data/pdf/lid&#233;n_2007.pdf" TargetMode="External"/><Relationship Id="rId204" Type="http://schemas.openxmlformats.org/officeDocument/2006/relationships/hyperlink" Target="https://github.com/d-wkim/phd/blob/main/data/pdf/lucidi_2025.pdf" TargetMode="External"/><Relationship Id="rId225" Type="http://schemas.openxmlformats.org/officeDocument/2006/relationships/hyperlink" Target="https://github.com/d-wkim/phd/blob/main/data/pdf/lund_2014.pdf" TargetMode="External"/><Relationship Id="rId246" Type="http://schemas.openxmlformats.org/officeDocument/2006/relationships/hyperlink" Target="https://github.com/d-wkim/phd/blob/main/data/pdf/moraiti_2010.pdf" TargetMode="External"/><Relationship Id="rId267" Type="http://schemas.openxmlformats.org/officeDocument/2006/relationships/hyperlink" Target="https://github.com/d-wkim/phd/blob/main/data/pdf/pinczewski_2007.pdf" TargetMode="External"/><Relationship Id="rId288" Type="http://schemas.openxmlformats.org/officeDocument/2006/relationships/hyperlink" Target="https://github.com/d-wkim/phd/blob/main/data/pdf/sajovic_2018.pdf" TargetMode="External"/><Relationship Id="rId106" Type="http://schemas.openxmlformats.org/officeDocument/2006/relationships/hyperlink" Target="https://github.com/d-wkim/phd/blob/main/data/pdf/harilainen_2006.pdf" TargetMode="External"/><Relationship Id="rId127" Type="http://schemas.openxmlformats.org/officeDocument/2006/relationships/hyperlink" Target="https://github.com/d-wkim/phd/blob/main/data/pdf/ibrahim_2005.pdf" TargetMode="External"/><Relationship Id="rId313" Type="http://schemas.openxmlformats.org/officeDocument/2006/relationships/hyperlink" Target="https://github.com/d-wkim/phd/blob/main/data/pdf/taylor_2009.pdf" TargetMode="External"/><Relationship Id="rId10" Type="http://schemas.openxmlformats.org/officeDocument/2006/relationships/hyperlink" Target="https://github.com/d-wkim/phd/blob/main/data/pdf/ahld&#233;n_2009.pdf" TargetMode="External"/><Relationship Id="rId31" Type="http://schemas.openxmlformats.org/officeDocument/2006/relationships/hyperlink" Target="https://github.com/d-wkim/phd/blob/main/data/pdf/bari&#233;_2020.pdf" TargetMode="External"/><Relationship Id="rId52" Type="http://schemas.openxmlformats.org/officeDocument/2006/relationships/hyperlink" Target="https://github.com/d-wkim/phd/blob/main/data/pdf/bj&#246;rnsson_2016.pdf" TargetMode="External"/><Relationship Id="rId73" Type="http://schemas.openxmlformats.org/officeDocument/2006/relationships/hyperlink" Target="https://github.com/d-wkim/phd/blob/main/data/pdf/ejerhed_2003.pdf" TargetMode="External"/><Relationship Id="rId94" Type="http://schemas.openxmlformats.org/officeDocument/2006/relationships/hyperlink" Target="https://github.com/d-wkim/phd/blob/main/data/pdf/guglielmetti_2021.pdf" TargetMode="External"/><Relationship Id="rId148" Type="http://schemas.openxmlformats.org/officeDocument/2006/relationships/hyperlink" Target="https://github.com/d-wkim/phd/blob/main/data/pdf/komzak_2022.pdf" TargetMode="External"/><Relationship Id="rId169" Type="http://schemas.openxmlformats.org/officeDocument/2006/relationships/hyperlink" Target="https://github.com/d-wkim/phd/blob/main/data/pdf/laxdal_2005.pdf" TargetMode="External"/><Relationship Id="rId334" Type="http://schemas.openxmlformats.org/officeDocument/2006/relationships/hyperlink" Target="https://github.com/d-wkim/phd/blob/main/data/pdf/yadav_2025.pdf" TargetMode="External"/><Relationship Id="rId4" Type="http://schemas.openxmlformats.org/officeDocument/2006/relationships/hyperlink" Target="https://github.com/d-wkim/phd/blob/main/data/pdf/aglietti_2004.pdf" TargetMode="External"/><Relationship Id="rId180" Type="http://schemas.openxmlformats.org/officeDocument/2006/relationships/hyperlink" Target="https://github.com/d-wkim/phd/blob/main/data/pdf/li_2015.pdf" TargetMode="External"/><Relationship Id="rId215" Type="http://schemas.openxmlformats.org/officeDocument/2006/relationships/hyperlink" Target="https://github.com/d-wkim/phd/blob/main/data/pdf/lui_2012.pdf" TargetMode="External"/><Relationship Id="rId236" Type="http://schemas.openxmlformats.org/officeDocument/2006/relationships/hyperlink" Target="https://github.com/d-wkim/phd/blob/main/data/pdf/malik_2026.pdf" TargetMode="External"/><Relationship Id="rId257" Type="http://schemas.openxmlformats.org/officeDocument/2006/relationships/hyperlink" Target="https://github.com/d-wkim/phd/blob/main/data/pdf/papalia_2015.pdf" TargetMode="External"/><Relationship Id="rId278" Type="http://schemas.openxmlformats.org/officeDocument/2006/relationships/hyperlink" Target="https://github.com/d-wkim/phd/blob/main/data/pdf/popovic_2024.pdf" TargetMode="External"/><Relationship Id="rId303" Type="http://schemas.openxmlformats.org/officeDocument/2006/relationships/hyperlink" Target="https://github.com/d-wkim/phd/blob/main/data/pdf/sonnery-cottet_2026.pdf" TargetMode="External"/><Relationship Id="rId42" Type="http://schemas.openxmlformats.org/officeDocument/2006/relationships/hyperlink" Target="https://github.com/d-wkim/phd/blob/main/data/pdf/bi_2018.pdf" TargetMode="External"/><Relationship Id="rId84" Type="http://schemas.openxmlformats.org/officeDocument/2006/relationships/hyperlink" Target="https://github.com/d-wkim/phd/blob/main/data/pdf/feller_webster_2003.pdf" TargetMode="External"/><Relationship Id="rId138" Type="http://schemas.openxmlformats.org/officeDocument/2006/relationships/hyperlink" Target="https://github.com/d-wkim/phd/blob/main/data/pdf/jansson_2003.pdf" TargetMode="External"/><Relationship Id="rId345" Type="http://schemas.openxmlformats.org/officeDocument/2006/relationships/hyperlink" Target="https://github.com/d-wkim/phd/blob/main/data/pdf/yoo_2017.pdf" TargetMode="External"/><Relationship Id="rId191" Type="http://schemas.openxmlformats.org/officeDocument/2006/relationships/hyperlink" Target="https://github.com/d-wkim/phd/blob/main/data/pdf/lid&#233;n_2007.pdf" TargetMode="External"/><Relationship Id="rId205" Type="http://schemas.openxmlformats.org/officeDocument/2006/relationships/hyperlink" Target="https://github.com/d-wkim/phd/blob/main/data/pdf/lucidi_2025.pdf" TargetMode="External"/><Relationship Id="rId247" Type="http://schemas.openxmlformats.org/officeDocument/2006/relationships/hyperlink" Target="https://github.com/d-wkim/phd/blob/main/data/pdf/moraiti_2010.pdf" TargetMode="External"/><Relationship Id="rId107" Type="http://schemas.openxmlformats.org/officeDocument/2006/relationships/hyperlink" Target="https://github.com/d-wkim/phd/blob/main/data/pdf/heijne_werner_2010.pdf" TargetMode="External"/><Relationship Id="rId289" Type="http://schemas.openxmlformats.org/officeDocument/2006/relationships/hyperlink" Target="https://github.com/d-wkim/phd/blob/main/data/pdf/sinding_2020.pdf" TargetMode="External"/><Relationship Id="rId11" Type="http://schemas.openxmlformats.org/officeDocument/2006/relationships/hyperlink" Target="https://github.com/d-wkim/phd/blob/main/data/pdf/ahld&#233;n_2009.pdf" TargetMode="External"/><Relationship Id="rId53" Type="http://schemas.openxmlformats.org/officeDocument/2006/relationships/hyperlink" Target="https://github.com/d-wkim/phd/blob/main/data/pdf/bj&#246;rnsson_2016.pdf" TargetMode="External"/><Relationship Id="rId149" Type="http://schemas.openxmlformats.org/officeDocument/2006/relationships/hyperlink" Target="https://github.com/d-wkim/phd/blob/main/data/pdf/komzak_2022.pdf" TargetMode="External"/><Relationship Id="rId314" Type="http://schemas.openxmlformats.org/officeDocument/2006/relationships/hyperlink" Target="https://github.com/d-wkim/phd/blob/main/data/pdf/taylor_2009.pdf" TargetMode="External"/><Relationship Id="rId95" Type="http://schemas.openxmlformats.org/officeDocument/2006/relationships/hyperlink" Target="https://github.com/d-wkim/phd/blob/main/data/pdf/guglielmetti_2021.pdf" TargetMode="External"/><Relationship Id="rId160" Type="http://schemas.openxmlformats.org/officeDocument/2006/relationships/hyperlink" Target="https://github.com/d-wkim/phd/blob/main/data/pdf/laoruengthana_2009.pdf" TargetMode="External"/><Relationship Id="rId216" Type="http://schemas.openxmlformats.org/officeDocument/2006/relationships/hyperlink" Target="https://github.com/d-wkim/phd/blob/main/data/pdf/lui_2012.pdf" TargetMode="External"/><Relationship Id="rId258" Type="http://schemas.openxmlformats.org/officeDocument/2006/relationships/hyperlink" Target="https://github.com/d-wkim/phd/blob/main/data/pdf/papalia_2015.pdf" TargetMode="External"/><Relationship Id="rId22" Type="http://schemas.openxmlformats.org/officeDocument/2006/relationships/hyperlink" Target="https://github.com/d-wkim/phd/blob/main/data/pdf/aune_2001.pdf" TargetMode="External"/><Relationship Id="rId64" Type="http://schemas.openxmlformats.org/officeDocument/2006/relationships/hyperlink" Target="https://github.com/d-wkim/phd/blob/main/data/pdf/calvert_2025.pdf" TargetMode="External"/><Relationship Id="rId118" Type="http://schemas.openxmlformats.org/officeDocument/2006/relationships/hyperlink" Target="https://github.com/d-wkim/phd/blob/main/data/pdf/horstmann_2022.pdf" TargetMode="External"/><Relationship Id="rId325" Type="http://schemas.openxmlformats.org/officeDocument/2006/relationships/hyperlink" Target="https://github.com/d-wkim/phd/blob/main/data/pdf/wipfler_2011.pdf" TargetMode="External"/><Relationship Id="rId171" Type="http://schemas.openxmlformats.org/officeDocument/2006/relationships/hyperlink" Target="https://github.com/d-wkim/phd/blob/main/data/pdf/laxdal_2005.pdf" TargetMode="External"/><Relationship Id="rId227" Type="http://schemas.openxmlformats.org/officeDocument/2006/relationships/hyperlink" Target="https://github.com/d-wkim/phd/blob/main/data/pdf/malik_2026.pdf" TargetMode="External"/><Relationship Id="rId269" Type="http://schemas.openxmlformats.org/officeDocument/2006/relationships/hyperlink" Target="https://github.com/d-wkim/phd/blob/main/data/pdf/pinczewski_2007.pdf" TargetMode="External"/><Relationship Id="rId33" Type="http://schemas.openxmlformats.org/officeDocument/2006/relationships/hyperlink" Target="https://github.com/d-wkim/phd/blob/main/data/pdf/bari&#233;_2020.pdf" TargetMode="External"/><Relationship Id="rId129" Type="http://schemas.openxmlformats.org/officeDocument/2006/relationships/hyperlink" Target="https://github.com/d-wkim/phd/blob/main/data/pdf/iliopoulos_2017.pdf" TargetMode="External"/><Relationship Id="rId280" Type="http://schemas.openxmlformats.org/officeDocument/2006/relationships/hyperlink" Target="https://github.com/d-wkim/phd/blob/main/data/pdf/popovic_2024.pdf" TargetMode="External"/><Relationship Id="rId336" Type="http://schemas.openxmlformats.org/officeDocument/2006/relationships/hyperlink" Target="https://github.com/d-wkim/phd/blob/main/data/pdf/yadav_2025.pdf" TargetMode="External"/><Relationship Id="rId75" Type="http://schemas.openxmlformats.org/officeDocument/2006/relationships/hyperlink" Target="https://github.com/d-wkim/phd/blob/main/data/pdf/eriksson_2006.pdf" TargetMode="External"/><Relationship Id="rId140" Type="http://schemas.openxmlformats.org/officeDocument/2006/relationships/hyperlink" Target="https://github.com/d-wkim/phd/blob/main/data/pdf/jansson_2003.pdf" TargetMode="External"/><Relationship Id="rId182" Type="http://schemas.openxmlformats.org/officeDocument/2006/relationships/hyperlink" Target="https://github.com/d-wkim/phd/blob/main/data/pdf/li_2015.pdf" TargetMode="External"/><Relationship Id="rId6" Type="http://schemas.openxmlformats.org/officeDocument/2006/relationships/hyperlink" Target="https://github.com/d-wkim/phd/blob/main/data/pdf/aglietti_2004.pdf" TargetMode="External"/><Relationship Id="rId238" Type="http://schemas.openxmlformats.org/officeDocument/2006/relationships/hyperlink" Target="https://github.com/d-wkim/phd/blob/main/data/pdf/malik_2026.pdf" TargetMode="External"/><Relationship Id="rId291" Type="http://schemas.openxmlformats.org/officeDocument/2006/relationships/hyperlink" Target="https://github.com/d-wkim/phd/blob/main/data/pdf/smith_2020.pdf" TargetMode="External"/><Relationship Id="rId305" Type="http://schemas.openxmlformats.org/officeDocument/2006/relationships/hyperlink" Target="https://github.com/d-wkim/phd/blob/main/data/pdf/sonnery-cottet_2026.pdf" TargetMode="External"/><Relationship Id="rId347" Type="http://schemas.openxmlformats.org/officeDocument/2006/relationships/hyperlink" Target="https://github.com/d-wkim/phd/blob/main/data/pdf/yoo_2017.pdf" TargetMode="External"/><Relationship Id="rId44" Type="http://schemas.openxmlformats.org/officeDocument/2006/relationships/hyperlink" Target="https://github.com/d-wkim/phd/blob/main/data/pdf/bi_2018.pdf" TargetMode="External"/><Relationship Id="rId86" Type="http://schemas.openxmlformats.org/officeDocument/2006/relationships/hyperlink" Target="https://github.com/d-wkim/phd/blob/main/data/pdf/gifstad_2013.pdf" TargetMode="External"/><Relationship Id="rId151" Type="http://schemas.openxmlformats.org/officeDocument/2006/relationships/hyperlink" Target="https://github.com/d-wkim/phd/blob/main/data/pdf/konrads_2016.pdf" TargetMode="External"/><Relationship Id="rId193" Type="http://schemas.openxmlformats.org/officeDocument/2006/relationships/hyperlink" Target="https://github.com/d-wkim/phd/blob/main/data/pdf/lind_2020.pdf" TargetMode="External"/><Relationship Id="rId207" Type="http://schemas.openxmlformats.org/officeDocument/2006/relationships/hyperlink" Target="https://github.com/d-wkim/phd/blob/main/data/pdf/lucidi_2025.pdf" TargetMode="External"/><Relationship Id="rId249" Type="http://schemas.openxmlformats.org/officeDocument/2006/relationships/hyperlink" Target="https://github.com/d-wkim/phd/blob/main/data/pdf/noh_2011.pdf" TargetMode="External"/><Relationship Id="rId13" Type="http://schemas.openxmlformats.org/officeDocument/2006/relationships/hyperlink" Target="https://github.com/d-wkim/phd/blob/main/data/pdf/ahld&#233;n_2009.pdf" TargetMode="External"/><Relationship Id="rId109" Type="http://schemas.openxmlformats.org/officeDocument/2006/relationships/hyperlink" Target="https://github.com/d-wkim/phd/blob/main/data/pdf/heijne_werner_2010.pdf" TargetMode="External"/><Relationship Id="rId260" Type="http://schemas.openxmlformats.org/officeDocument/2006/relationships/hyperlink" Target="https://github.com/d-wkim/phd/blob/main/data/pdf/papalia_2015.pdf" TargetMode="External"/><Relationship Id="rId316" Type="http://schemas.openxmlformats.org/officeDocument/2006/relationships/hyperlink" Target="https://github.com/d-wkim/phd/blob/main/data/pdf/taylor_2009.pdf" TargetMode="External"/><Relationship Id="rId55" Type="http://schemas.openxmlformats.org/officeDocument/2006/relationships/hyperlink" Target="https://github.com/d-wkim/phd/blob/main/data/pdf/bottoni_2015.pdf" TargetMode="External"/><Relationship Id="rId97" Type="http://schemas.openxmlformats.org/officeDocument/2006/relationships/hyperlink" Target="https://github.com/d-wkim/phd/blob/main/data/pdf/harilainen_2006.pdf" TargetMode="External"/><Relationship Id="rId120" Type="http://schemas.openxmlformats.org/officeDocument/2006/relationships/hyperlink" Target="https://github.com/d-wkim/phd/blob/main/data/pdf/horstmann_2022.pdf" TargetMode="External"/><Relationship Id="rId162" Type="http://schemas.openxmlformats.org/officeDocument/2006/relationships/hyperlink" Target="https://github.com/d-wkim/phd/blob/main/data/pdf/laoruengthana_2009.pdf" TargetMode="External"/><Relationship Id="rId218" Type="http://schemas.openxmlformats.org/officeDocument/2006/relationships/hyperlink" Target="https://github.com/d-wkim/phd/blob/main/data/pdf/lui_2012.pdf" TargetMode="External"/><Relationship Id="rId271" Type="http://schemas.openxmlformats.org/officeDocument/2006/relationships/hyperlink" Target="https://github.com/d-wkim/phd/blob/main/data/pdf/pinczewski_2007.pdf" TargetMode="External"/><Relationship Id="rId24" Type="http://schemas.openxmlformats.org/officeDocument/2006/relationships/hyperlink" Target="https://github.com/d-wkim/phd/blob/main/data/pdf/barenius_2010.pdf" TargetMode="External"/><Relationship Id="rId66" Type="http://schemas.openxmlformats.org/officeDocument/2006/relationships/hyperlink" Target="https://github.com/d-wkim/phd/blob/main/data/pdf/calvert_2025.pdf" TargetMode="External"/><Relationship Id="rId131" Type="http://schemas.openxmlformats.org/officeDocument/2006/relationships/hyperlink" Target="https://github.com/d-wkim/phd/blob/main/data/pdf/iliopoulos_2017.pdf" TargetMode="External"/><Relationship Id="rId327" Type="http://schemas.openxmlformats.org/officeDocument/2006/relationships/hyperlink" Target="https://github.com/d-wkim/phd/blob/main/data/pdf/wipfler_2011.pdf" TargetMode="External"/><Relationship Id="rId173" Type="http://schemas.openxmlformats.org/officeDocument/2006/relationships/hyperlink" Target="https://github.com/d-wkim/phd/blob/main/data/pdf/li_2015.pdf" TargetMode="External"/><Relationship Id="rId229" Type="http://schemas.openxmlformats.org/officeDocument/2006/relationships/hyperlink" Target="https://github.com/d-wkim/phd/blob/main/data/pdf/malik_2026.pdf" TargetMode="External"/><Relationship Id="rId240" Type="http://schemas.openxmlformats.org/officeDocument/2006/relationships/hyperlink" Target="https://github.com/d-wkim/phd/blob/main/data/pdf/matsumoto_2006.pdf" TargetMode="External"/><Relationship Id="rId35" Type="http://schemas.openxmlformats.org/officeDocument/2006/relationships/hyperlink" Target="https://github.com/d-wkim/phd/blob/main/data/pdf/beynnon_2002.pdf" TargetMode="External"/><Relationship Id="rId77" Type="http://schemas.openxmlformats.org/officeDocument/2006/relationships/hyperlink" Target="https://github.com/d-wkim/phd/blob/main/data/pdf/eriksson_2006.pdf" TargetMode="External"/><Relationship Id="rId100" Type="http://schemas.openxmlformats.org/officeDocument/2006/relationships/hyperlink" Target="https://github.com/d-wkim/phd/blob/main/data/pdf/harilainen_2006.pdf" TargetMode="External"/><Relationship Id="rId282" Type="http://schemas.openxmlformats.org/officeDocument/2006/relationships/hyperlink" Target="https://github.com/d-wkim/phd/blob/main/data/pdf/popovic_2024.pdf" TargetMode="External"/><Relationship Id="rId338" Type="http://schemas.openxmlformats.org/officeDocument/2006/relationships/hyperlink" Target="https://github.com/d-wkim/phd/blob/main/data/pdf/yadav_2025.pdf" TargetMode="External"/><Relationship Id="rId8" Type="http://schemas.openxmlformats.org/officeDocument/2006/relationships/hyperlink" Target="https://github.com/d-wkim/phd/blob/main/data/pdf/aglietti_2004.pdf" TargetMode="External"/><Relationship Id="rId142" Type="http://schemas.openxmlformats.org/officeDocument/2006/relationships/hyperlink" Target="https://github.com/d-wkim/phd/blob/main/data/pdf/kautzner_2015.pdf" TargetMode="External"/><Relationship Id="rId184" Type="http://schemas.openxmlformats.org/officeDocument/2006/relationships/hyperlink" Target="https://github.com/d-wkim/phd/blob/main/data/pdf/li_20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2A30-7348-4667-9752-EF98A4CD16A1}">
  <dimension ref="A1:AB497"/>
  <sheetViews>
    <sheetView zoomScale="82" workbookViewId="0">
      <selection activeCell="E32" sqref="E32"/>
    </sheetView>
  </sheetViews>
  <sheetFormatPr defaultColWidth="10.453125" defaultRowHeight="14.5" x14ac:dyDescent="0.35"/>
  <cols>
    <col min="1" max="1" width="4.26953125" style="18" bestFit="1" customWidth="1"/>
    <col min="2" max="2" width="23.36328125" style="6" bestFit="1" customWidth="1"/>
    <col min="3" max="3" width="10.1796875" style="6" bestFit="1" customWidth="1"/>
    <col min="4" max="4" width="11.81640625" style="6" bestFit="1" customWidth="1"/>
    <col min="5" max="5" width="16.6328125" style="6" bestFit="1" customWidth="1"/>
    <col min="6" max="6" width="11.26953125" style="6" bestFit="1" customWidth="1"/>
    <col min="7" max="7" width="10" style="6" bestFit="1" customWidth="1"/>
    <col min="8" max="8" width="17.90625" style="6" bestFit="1" customWidth="1"/>
    <col min="9" max="9" width="5" style="6" bestFit="1" customWidth="1"/>
    <col min="10" max="10" width="5.453125" style="6" bestFit="1" customWidth="1"/>
    <col min="11" max="11" width="6.54296875" style="6" bestFit="1" customWidth="1"/>
    <col min="12" max="12" width="7.26953125" style="6" bestFit="1" customWidth="1"/>
    <col min="13" max="13" width="3.1796875" style="6" bestFit="1" customWidth="1"/>
    <col min="14" max="14" width="5.453125" style="6" bestFit="1" customWidth="1"/>
    <col min="15" max="15" width="4.26953125" style="6" bestFit="1" customWidth="1"/>
    <col min="16" max="16" width="16.1796875" style="6" bestFit="1" customWidth="1"/>
    <col min="17" max="17" width="13.54296875" style="6" bestFit="1" customWidth="1"/>
    <col min="18" max="18" width="117" style="6" bestFit="1" customWidth="1"/>
    <col min="19" max="16384" width="10.453125" style="6"/>
  </cols>
  <sheetData>
    <row r="1" spans="1:28" s="16" customFormat="1" ht="15" thickBot="1" x14ac:dyDescent="0.4">
      <c r="A1" s="3" t="s">
        <v>73</v>
      </c>
      <c r="B1" s="2" t="s">
        <v>74</v>
      </c>
      <c r="C1" s="2" t="s">
        <v>75</v>
      </c>
      <c r="D1" s="3" t="s">
        <v>76</v>
      </c>
      <c r="E1" s="2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83</v>
      </c>
      <c r="K1" s="3" t="s">
        <v>86</v>
      </c>
      <c r="L1" s="3" t="s">
        <v>82</v>
      </c>
      <c r="M1" s="3" t="s">
        <v>88</v>
      </c>
      <c r="N1" s="3" t="s">
        <v>89</v>
      </c>
      <c r="O1" s="3" t="s">
        <v>87</v>
      </c>
      <c r="P1" s="3" t="s">
        <v>84</v>
      </c>
      <c r="Q1" s="3" t="s">
        <v>85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5" thickBot="1" x14ac:dyDescent="0.4">
      <c r="A2" s="4">
        <v>1</v>
      </c>
      <c r="B2" s="12" t="s">
        <v>0</v>
      </c>
      <c r="C2" s="7" t="s">
        <v>1</v>
      </c>
      <c r="D2" s="4" t="s">
        <v>2</v>
      </c>
      <c r="E2" s="7" t="s">
        <v>3</v>
      </c>
      <c r="F2" s="4">
        <v>16</v>
      </c>
      <c r="G2" s="4">
        <v>4.17</v>
      </c>
      <c r="H2" s="4">
        <v>1.413</v>
      </c>
      <c r="I2" s="4">
        <v>2</v>
      </c>
      <c r="J2" s="4">
        <v>7</v>
      </c>
      <c r="K2" s="4" cm="1">
        <f t="array" ref="K2:K497">IF(I2:I497&lt;&gt;"",J2:J497-I2:I497,"")</f>
        <v>5</v>
      </c>
      <c r="L2" s="4">
        <v>4</v>
      </c>
      <c r="M2" s="8"/>
      <c r="N2" s="8"/>
      <c r="O2" s="4" t="str" cm="1">
        <f t="array" ref="O2:O497">IF(M2:M497&lt;&gt;"",N2:N497-M2:M497,"")</f>
        <v/>
      </c>
      <c r="P2" s="8"/>
      <c r="Q2" s="8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thickBot="1" x14ac:dyDescent="0.4">
      <c r="A3" s="4">
        <v>1</v>
      </c>
      <c r="B3" s="12" t="s">
        <v>0</v>
      </c>
      <c r="C3" s="7" t="s">
        <v>4</v>
      </c>
      <c r="D3" s="4" t="s">
        <v>2</v>
      </c>
      <c r="E3" s="7" t="s">
        <v>3</v>
      </c>
      <c r="F3" s="4">
        <v>20</v>
      </c>
      <c r="G3" s="4">
        <v>3.15</v>
      </c>
      <c r="H3" s="4">
        <v>1.3380000000000001</v>
      </c>
      <c r="I3" s="4">
        <v>1</v>
      </c>
      <c r="J3" s="4">
        <v>6</v>
      </c>
      <c r="K3" s="4">
        <v>5</v>
      </c>
      <c r="L3" s="4">
        <v>3</v>
      </c>
      <c r="M3" s="8"/>
      <c r="N3" s="8"/>
      <c r="O3" s="8" t="str">
        <v/>
      </c>
      <c r="P3" s="8"/>
      <c r="Q3" s="8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" thickBot="1" x14ac:dyDescent="0.4">
      <c r="A4" s="4">
        <v>2</v>
      </c>
      <c r="B4" s="12" t="s">
        <v>5</v>
      </c>
      <c r="C4" s="7" t="s">
        <v>1</v>
      </c>
      <c r="D4" s="4" t="s">
        <v>6</v>
      </c>
      <c r="E4" s="7" t="s">
        <v>7</v>
      </c>
      <c r="F4" s="4">
        <v>60</v>
      </c>
      <c r="G4" s="4">
        <v>0</v>
      </c>
      <c r="H4" s="4">
        <v>6.5000000000000002E-2</v>
      </c>
      <c r="I4" s="8"/>
      <c r="J4" s="8"/>
      <c r="K4" s="8" t="str">
        <v/>
      </c>
      <c r="L4" s="8"/>
      <c r="M4" s="8"/>
      <c r="N4" s="8"/>
      <c r="O4" s="8" t="str">
        <v/>
      </c>
      <c r="P4" s="8"/>
      <c r="Q4" s="8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5" thickBot="1" x14ac:dyDescent="0.4">
      <c r="A5" s="4">
        <v>2</v>
      </c>
      <c r="B5" s="12" t="s">
        <v>5</v>
      </c>
      <c r="C5" s="7" t="s">
        <v>1</v>
      </c>
      <c r="D5" s="4" t="s">
        <v>6</v>
      </c>
      <c r="E5" s="7" t="s">
        <v>8</v>
      </c>
      <c r="F5" s="4">
        <v>60</v>
      </c>
      <c r="G5" s="4">
        <v>0</v>
      </c>
      <c r="H5" s="4">
        <v>6.5000000000000002E-2</v>
      </c>
      <c r="I5" s="8"/>
      <c r="J5" s="8"/>
      <c r="K5" s="8" t="str">
        <v/>
      </c>
      <c r="L5" s="8"/>
      <c r="M5" s="8"/>
      <c r="N5" s="8"/>
      <c r="O5" s="8" t="str">
        <v/>
      </c>
      <c r="P5" s="8"/>
      <c r="Q5" s="8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" thickBot="1" x14ac:dyDescent="0.4">
      <c r="A6" s="4">
        <v>2</v>
      </c>
      <c r="B6" s="12" t="s">
        <v>5</v>
      </c>
      <c r="C6" s="7" t="s">
        <v>1</v>
      </c>
      <c r="D6" s="4" t="s">
        <v>2</v>
      </c>
      <c r="E6" s="7" t="s">
        <v>9</v>
      </c>
      <c r="F6" s="4">
        <v>60</v>
      </c>
      <c r="G6" s="4">
        <v>2.2000000000000002</v>
      </c>
      <c r="H6" s="4">
        <v>1.081</v>
      </c>
      <c r="I6" s="4">
        <v>0</v>
      </c>
      <c r="J6" s="4">
        <v>5</v>
      </c>
      <c r="K6" s="4">
        <v>5</v>
      </c>
      <c r="L6" s="8"/>
      <c r="M6" s="8"/>
      <c r="N6" s="8"/>
      <c r="O6" s="8" t="str">
        <v/>
      </c>
      <c r="P6" s="8"/>
      <c r="Q6" s="8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thickBot="1" x14ac:dyDescent="0.4">
      <c r="A7" s="4">
        <v>2</v>
      </c>
      <c r="B7" s="12" t="s">
        <v>5</v>
      </c>
      <c r="C7" s="7" t="s">
        <v>4</v>
      </c>
      <c r="D7" s="4" t="s">
        <v>6</v>
      </c>
      <c r="E7" s="7" t="s">
        <v>7</v>
      </c>
      <c r="F7" s="4">
        <v>60</v>
      </c>
      <c r="G7" s="4">
        <v>0</v>
      </c>
      <c r="H7" s="4">
        <v>6.5000000000000002E-2</v>
      </c>
      <c r="I7" s="8"/>
      <c r="J7" s="8"/>
      <c r="K7" s="8" t="str">
        <v/>
      </c>
      <c r="L7" s="8"/>
      <c r="M7" s="8"/>
      <c r="N7" s="8"/>
      <c r="O7" s="8" t="str">
        <v/>
      </c>
      <c r="P7" s="8"/>
      <c r="Q7" s="8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" thickBot="1" x14ac:dyDescent="0.4">
      <c r="A8" s="4">
        <v>2</v>
      </c>
      <c r="B8" s="12" t="s">
        <v>5</v>
      </c>
      <c r="C8" s="7" t="s">
        <v>4</v>
      </c>
      <c r="D8" s="4" t="s">
        <v>6</v>
      </c>
      <c r="E8" s="7" t="s">
        <v>8</v>
      </c>
      <c r="F8" s="4">
        <v>60</v>
      </c>
      <c r="G8" s="4">
        <v>0</v>
      </c>
      <c r="H8" s="4">
        <v>6.5000000000000002E-2</v>
      </c>
      <c r="I8" s="8"/>
      <c r="J8" s="8"/>
      <c r="K8" s="8" t="str">
        <v/>
      </c>
      <c r="L8" s="8"/>
      <c r="M8" s="8"/>
      <c r="N8" s="8"/>
      <c r="O8" s="8" t="str">
        <v/>
      </c>
      <c r="P8" s="8"/>
      <c r="Q8" s="8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thickBot="1" x14ac:dyDescent="0.4">
      <c r="A9" s="4">
        <v>2</v>
      </c>
      <c r="B9" s="12" t="s">
        <v>5</v>
      </c>
      <c r="C9" s="7" t="s">
        <v>4</v>
      </c>
      <c r="D9" s="4" t="s">
        <v>2</v>
      </c>
      <c r="E9" s="7" t="s">
        <v>9</v>
      </c>
      <c r="F9" s="4">
        <v>60</v>
      </c>
      <c r="G9" s="4">
        <v>1.95</v>
      </c>
      <c r="H9" s="4">
        <v>1.2969999999999999</v>
      </c>
      <c r="I9" s="4">
        <v>-1</v>
      </c>
      <c r="J9" s="4">
        <v>5</v>
      </c>
      <c r="K9" s="4">
        <v>6</v>
      </c>
      <c r="L9" s="8"/>
      <c r="M9" s="8"/>
      <c r="N9" s="8"/>
      <c r="O9" s="8" t="str">
        <v/>
      </c>
      <c r="P9" s="8"/>
      <c r="Q9" s="8"/>
      <c r="R9" s="13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 thickBot="1" x14ac:dyDescent="0.4">
      <c r="A10" s="4">
        <v>3</v>
      </c>
      <c r="B10" s="12" t="s">
        <v>10</v>
      </c>
      <c r="C10" s="7" t="s">
        <v>1</v>
      </c>
      <c r="D10" s="4" t="s">
        <v>2</v>
      </c>
      <c r="E10" s="7" t="s">
        <v>11</v>
      </c>
      <c r="F10" s="4">
        <v>25</v>
      </c>
      <c r="G10" s="4">
        <v>80.7</v>
      </c>
      <c r="H10" s="4">
        <v>21.637</v>
      </c>
      <c r="I10" s="4">
        <v>15</v>
      </c>
      <c r="J10" s="4">
        <v>100</v>
      </c>
      <c r="K10" s="4">
        <v>85</v>
      </c>
      <c r="L10" s="4">
        <v>89</v>
      </c>
      <c r="M10" s="8"/>
      <c r="N10" s="8"/>
      <c r="O10" s="8" t="str">
        <v/>
      </c>
      <c r="P10" s="8"/>
      <c r="Q10" s="8"/>
      <c r="R10" s="13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" thickBot="1" x14ac:dyDescent="0.4">
      <c r="A11" s="4">
        <v>3</v>
      </c>
      <c r="B11" s="12" t="s">
        <v>10</v>
      </c>
      <c r="C11" s="7" t="s">
        <v>1</v>
      </c>
      <c r="D11" s="4" t="s">
        <v>2</v>
      </c>
      <c r="E11" s="7" t="s">
        <v>3</v>
      </c>
      <c r="F11" s="4">
        <v>25</v>
      </c>
      <c r="G11" s="4">
        <v>4.87</v>
      </c>
      <c r="H11" s="4">
        <v>2.2909999999999999</v>
      </c>
      <c r="I11" s="4">
        <v>0</v>
      </c>
      <c r="J11" s="4">
        <v>9</v>
      </c>
      <c r="K11" s="4">
        <v>9</v>
      </c>
      <c r="L11" s="4">
        <v>5</v>
      </c>
      <c r="M11" s="8"/>
      <c r="N11" s="8"/>
      <c r="O11" s="8" t="str">
        <v/>
      </c>
      <c r="P11" s="8"/>
      <c r="Q11" s="8"/>
      <c r="R11" s="13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thickBot="1" x14ac:dyDescent="0.4">
      <c r="A12" s="4">
        <v>3</v>
      </c>
      <c r="B12" s="12" t="s">
        <v>10</v>
      </c>
      <c r="C12" s="7" t="s">
        <v>1</v>
      </c>
      <c r="D12" s="4" t="s">
        <v>2</v>
      </c>
      <c r="E12" s="7" t="s">
        <v>9</v>
      </c>
      <c r="F12" s="4">
        <v>25</v>
      </c>
      <c r="G12" s="4">
        <v>2.6</v>
      </c>
      <c r="H12" s="4">
        <v>3.3</v>
      </c>
      <c r="I12" s="8"/>
      <c r="J12" s="8"/>
      <c r="K12" s="8" t="str">
        <v/>
      </c>
      <c r="L12" s="8"/>
      <c r="M12" s="8"/>
      <c r="N12" s="8"/>
      <c r="O12" s="8" t="str">
        <v/>
      </c>
      <c r="P12" s="8"/>
      <c r="Q12" s="8"/>
      <c r="R12" s="13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" thickBot="1" x14ac:dyDescent="0.4">
      <c r="A13" s="4">
        <v>3</v>
      </c>
      <c r="B13" s="12" t="s">
        <v>10</v>
      </c>
      <c r="C13" s="7" t="s">
        <v>4</v>
      </c>
      <c r="D13" s="4" t="s">
        <v>2</v>
      </c>
      <c r="E13" s="7" t="s">
        <v>11</v>
      </c>
      <c r="F13" s="4">
        <v>22</v>
      </c>
      <c r="G13" s="4">
        <v>79.16</v>
      </c>
      <c r="H13" s="4">
        <v>13.353</v>
      </c>
      <c r="I13" s="4">
        <v>49</v>
      </c>
      <c r="J13" s="4">
        <v>100</v>
      </c>
      <c r="K13" s="4">
        <v>51</v>
      </c>
      <c r="L13" s="4">
        <v>81</v>
      </c>
      <c r="M13" s="8"/>
      <c r="N13" s="8"/>
      <c r="O13" s="8" t="str">
        <v/>
      </c>
      <c r="P13" s="8"/>
      <c r="Q13" s="8"/>
      <c r="R13" s="13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thickBot="1" x14ac:dyDescent="0.4">
      <c r="A14" s="4">
        <v>3</v>
      </c>
      <c r="B14" s="12" t="s">
        <v>10</v>
      </c>
      <c r="C14" s="7" t="s">
        <v>4</v>
      </c>
      <c r="D14" s="4" t="s">
        <v>2</v>
      </c>
      <c r="E14" s="7" t="s">
        <v>3</v>
      </c>
      <c r="F14" s="4">
        <v>22</v>
      </c>
      <c r="G14" s="4">
        <v>4.8600000000000003</v>
      </c>
      <c r="H14" s="4">
        <v>1.3089999999999999</v>
      </c>
      <c r="I14" s="4">
        <v>2</v>
      </c>
      <c r="J14" s="4">
        <v>7</v>
      </c>
      <c r="K14" s="4">
        <v>5</v>
      </c>
      <c r="L14" s="4">
        <v>5</v>
      </c>
      <c r="M14" s="8"/>
      <c r="N14" s="8"/>
      <c r="O14" s="8" t="str">
        <v/>
      </c>
      <c r="P14" s="8"/>
      <c r="Q14" s="8"/>
      <c r="R14" s="13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thickBot="1" x14ac:dyDescent="0.4">
      <c r="A15" s="4">
        <v>3</v>
      </c>
      <c r="B15" s="12" t="s">
        <v>10</v>
      </c>
      <c r="C15" s="7" t="s">
        <v>4</v>
      </c>
      <c r="D15" s="4" t="s">
        <v>2</v>
      </c>
      <c r="E15" s="7" t="s">
        <v>9</v>
      </c>
      <c r="F15" s="4">
        <v>22</v>
      </c>
      <c r="G15" s="4">
        <v>1.4</v>
      </c>
      <c r="H15" s="4">
        <v>2.6</v>
      </c>
      <c r="I15" s="8"/>
      <c r="J15" s="8"/>
      <c r="K15" s="8" t="str">
        <v/>
      </c>
      <c r="L15" s="8"/>
      <c r="M15" s="8"/>
      <c r="N15" s="8"/>
      <c r="O15" s="8" t="str">
        <v/>
      </c>
      <c r="P15" s="8"/>
      <c r="Q15" s="8"/>
      <c r="R15" s="13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thickBot="1" x14ac:dyDescent="0.4">
      <c r="A16" s="4">
        <v>5</v>
      </c>
      <c r="B16" s="12" t="s">
        <v>12</v>
      </c>
      <c r="C16" s="7" t="s">
        <v>1</v>
      </c>
      <c r="D16" s="4" t="s">
        <v>2</v>
      </c>
      <c r="E16" s="7" t="s">
        <v>9</v>
      </c>
      <c r="F16" s="4">
        <v>35</v>
      </c>
      <c r="G16" s="4">
        <v>2.1</v>
      </c>
      <c r="H16" s="4">
        <v>2</v>
      </c>
      <c r="I16" s="8"/>
      <c r="J16" s="8"/>
      <c r="K16" s="8" t="str">
        <v/>
      </c>
      <c r="L16" s="8"/>
      <c r="M16" s="8"/>
      <c r="N16" s="8"/>
      <c r="O16" s="8" t="str">
        <v/>
      </c>
      <c r="P16" s="8"/>
      <c r="Q16" s="8"/>
      <c r="R16" s="13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thickBot="1" x14ac:dyDescent="0.4">
      <c r="A17" s="4">
        <v>5</v>
      </c>
      <c r="B17" s="12" t="s">
        <v>12</v>
      </c>
      <c r="C17" s="7" t="s">
        <v>1</v>
      </c>
      <c r="D17" s="4" t="s">
        <v>6</v>
      </c>
      <c r="E17" s="7" t="s">
        <v>8</v>
      </c>
      <c r="F17" s="4">
        <v>35</v>
      </c>
      <c r="G17" s="4">
        <v>7</v>
      </c>
      <c r="H17" s="4">
        <v>1.585</v>
      </c>
      <c r="I17" s="8"/>
      <c r="J17" s="8"/>
      <c r="K17" s="8" t="str">
        <v/>
      </c>
      <c r="L17" s="8"/>
      <c r="M17" s="8"/>
      <c r="N17" s="8"/>
      <c r="O17" s="8" t="str">
        <v/>
      </c>
      <c r="P17" s="8"/>
      <c r="Q17" s="8"/>
      <c r="R17" s="13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" thickBot="1" x14ac:dyDescent="0.4">
      <c r="A18" s="4">
        <v>5</v>
      </c>
      <c r="B18" s="12" t="s">
        <v>12</v>
      </c>
      <c r="C18" s="7" t="s">
        <v>4</v>
      </c>
      <c r="D18" s="4" t="s">
        <v>2</v>
      </c>
      <c r="E18" s="7" t="s">
        <v>9</v>
      </c>
      <c r="F18" s="4">
        <v>33</v>
      </c>
      <c r="G18" s="4">
        <v>3.1</v>
      </c>
      <c r="H18" s="4">
        <v>2.2999999999999998</v>
      </c>
      <c r="I18" s="8"/>
      <c r="J18" s="8"/>
      <c r="K18" s="8" t="str">
        <v/>
      </c>
      <c r="L18" s="8"/>
      <c r="M18" s="8"/>
      <c r="N18" s="8"/>
      <c r="O18" s="8" t="str">
        <v/>
      </c>
      <c r="P18" s="8"/>
      <c r="Q18" s="8"/>
      <c r="R18" s="13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" thickBot="1" x14ac:dyDescent="0.4">
      <c r="A19" s="4">
        <v>5</v>
      </c>
      <c r="B19" s="12" t="s">
        <v>12</v>
      </c>
      <c r="C19" s="7" t="s">
        <v>4</v>
      </c>
      <c r="D19" s="4" t="s">
        <v>6</v>
      </c>
      <c r="E19" s="7" t="s">
        <v>8</v>
      </c>
      <c r="F19" s="4">
        <v>33</v>
      </c>
      <c r="G19" s="4">
        <v>8</v>
      </c>
      <c r="H19" s="4">
        <v>1.9530000000000001</v>
      </c>
      <c r="I19" s="8"/>
      <c r="J19" s="8"/>
      <c r="K19" s="8" t="str">
        <v/>
      </c>
      <c r="L19" s="8"/>
      <c r="M19" s="8"/>
      <c r="N19" s="8"/>
      <c r="O19" s="8" t="str">
        <v/>
      </c>
      <c r="P19" s="8"/>
      <c r="Q19" s="8"/>
      <c r="R19" s="13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" thickBot="1" x14ac:dyDescent="0.4">
      <c r="A20" s="4">
        <v>6</v>
      </c>
      <c r="B20" s="12" t="s">
        <v>18</v>
      </c>
      <c r="C20" s="7" t="s">
        <v>1</v>
      </c>
      <c r="D20" s="4" t="s">
        <v>6</v>
      </c>
      <c r="E20" s="7" t="s">
        <v>19</v>
      </c>
      <c r="F20" s="4">
        <v>16</v>
      </c>
      <c r="G20" s="4">
        <v>0</v>
      </c>
      <c r="H20" s="4">
        <v>0.125</v>
      </c>
      <c r="I20" s="8"/>
      <c r="J20" s="8"/>
      <c r="K20" s="8" t="str">
        <v/>
      </c>
      <c r="L20" s="8"/>
      <c r="M20" s="8"/>
      <c r="N20" s="8"/>
      <c r="O20" s="8" t="str">
        <v/>
      </c>
      <c r="P20" s="8"/>
      <c r="Q20" s="8"/>
      <c r="R20" s="13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" thickBot="1" x14ac:dyDescent="0.4">
      <c r="A21" s="4">
        <v>6</v>
      </c>
      <c r="B21" s="12" t="s">
        <v>18</v>
      </c>
      <c r="C21" s="7" t="s">
        <v>4</v>
      </c>
      <c r="D21" s="4" t="s">
        <v>6</v>
      </c>
      <c r="E21" s="7" t="s">
        <v>19</v>
      </c>
      <c r="F21" s="4">
        <v>16</v>
      </c>
      <c r="G21" s="4">
        <v>0</v>
      </c>
      <c r="H21" s="4">
        <v>0.125</v>
      </c>
      <c r="I21" s="8"/>
      <c r="J21" s="8"/>
      <c r="K21" s="8" t="str">
        <v/>
      </c>
      <c r="L21" s="8"/>
      <c r="M21" s="8"/>
      <c r="N21" s="8"/>
      <c r="O21" s="8" t="str">
        <v/>
      </c>
      <c r="P21" s="8"/>
      <c r="Q21" s="8"/>
      <c r="R21" s="13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" thickBot="1" x14ac:dyDescent="0.4">
      <c r="A22" s="4">
        <v>7</v>
      </c>
      <c r="B22" s="12" t="s">
        <v>13</v>
      </c>
      <c r="C22" s="7" t="s">
        <v>1</v>
      </c>
      <c r="D22" s="4" t="s">
        <v>2</v>
      </c>
      <c r="E22" s="7" t="s">
        <v>9</v>
      </c>
      <c r="F22" s="4">
        <v>32</v>
      </c>
      <c r="G22" s="4">
        <v>3.3</v>
      </c>
      <c r="H22" s="4">
        <v>2.6</v>
      </c>
      <c r="I22" s="8"/>
      <c r="J22" s="8"/>
      <c r="K22" s="8" t="str">
        <v/>
      </c>
      <c r="L22" s="8"/>
      <c r="M22" s="8"/>
      <c r="N22" s="8"/>
      <c r="O22" s="8" t="str">
        <v/>
      </c>
      <c r="P22" s="8"/>
      <c r="Q22" s="8"/>
      <c r="R22" s="13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" thickBot="1" x14ac:dyDescent="0.4">
      <c r="A23" s="4">
        <v>7</v>
      </c>
      <c r="B23" s="12" t="s">
        <v>13</v>
      </c>
      <c r="C23" s="7" t="s">
        <v>4</v>
      </c>
      <c r="D23" s="4" t="s">
        <v>2</v>
      </c>
      <c r="E23" s="7" t="s">
        <v>9</v>
      </c>
      <c r="F23" s="4">
        <v>29</v>
      </c>
      <c r="G23" s="4">
        <v>2.9</v>
      </c>
      <c r="H23" s="4">
        <v>2.4</v>
      </c>
      <c r="I23" s="8"/>
      <c r="J23" s="8"/>
      <c r="K23" s="8" t="str">
        <v/>
      </c>
      <c r="L23" s="8"/>
      <c r="M23" s="8"/>
      <c r="N23" s="8"/>
      <c r="O23" s="8" t="str">
        <v/>
      </c>
      <c r="P23" s="8"/>
      <c r="Q23" s="8"/>
      <c r="R23" s="13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" thickBot="1" x14ac:dyDescent="0.4">
      <c r="A24" s="4">
        <v>9</v>
      </c>
      <c r="B24" s="12" t="s">
        <v>14</v>
      </c>
      <c r="C24" s="7" t="s">
        <v>1</v>
      </c>
      <c r="D24" s="4" t="s">
        <v>2</v>
      </c>
      <c r="E24" s="7" t="s">
        <v>3</v>
      </c>
      <c r="F24" s="4">
        <v>78</v>
      </c>
      <c r="G24" s="4">
        <v>5.8</v>
      </c>
      <c r="H24" s="4">
        <v>1.8680000000000001</v>
      </c>
      <c r="I24" s="4">
        <v>0</v>
      </c>
      <c r="J24" s="4">
        <v>9</v>
      </c>
      <c r="K24" s="4">
        <v>9</v>
      </c>
      <c r="L24" s="4">
        <v>6</v>
      </c>
      <c r="M24" s="8"/>
      <c r="N24" s="8"/>
      <c r="O24" s="8" t="str">
        <v/>
      </c>
      <c r="P24" s="8"/>
      <c r="Q24" s="8"/>
      <c r="R24" s="13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" thickBot="1" x14ac:dyDescent="0.4">
      <c r="A25" s="4">
        <v>9</v>
      </c>
      <c r="B25" s="12" t="s">
        <v>14</v>
      </c>
      <c r="C25" s="7" t="s">
        <v>1</v>
      </c>
      <c r="D25" s="4" t="s">
        <v>2</v>
      </c>
      <c r="E25" s="7" t="s">
        <v>11</v>
      </c>
      <c r="F25" s="4">
        <v>78</v>
      </c>
      <c r="G25" s="4">
        <v>85.82</v>
      </c>
      <c r="H25" s="4">
        <v>11.827999999999999</v>
      </c>
      <c r="I25" s="4">
        <v>43</v>
      </c>
      <c r="J25" s="4">
        <v>100</v>
      </c>
      <c r="K25" s="4">
        <v>57</v>
      </c>
      <c r="L25" s="4">
        <v>88</v>
      </c>
      <c r="M25" s="8"/>
      <c r="N25" s="8"/>
      <c r="O25" s="8" t="str">
        <v/>
      </c>
      <c r="P25" s="8"/>
      <c r="Q25" s="8"/>
      <c r="R25" s="13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thickBot="1" x14ac:dyDescent="0.4">
      <c r="A26" s="4">
        <v>9</v>
      </c>
      <c r="B26" s="12" t="s">
        <v>14</v>
      </c>
      <c r="C26" s="7" t="s">
        <v>4</v>
      </c>
      <c r="D26" s="4" t="s">
        <v>2</v>
      </c>
      <c r="E26" s="7" t="s">
        <v>3</v>
      </c>
      <c r="F26" s="4">
        <v>75</v>
      </c>
      <c r="G26" s="4">
        <v>4.07</v>
      </c>
      <c r="H26" s="4">
        <v>1.879</v>
      </c>
      <c r="I26" s="4">
        <v>0</v>
      </c>
      <c r="J26" s="4">
        <v>9</v>
      </c>
      <c r="K26" s="4">
        <v>9</v>
      </c>
      <c r="L26" s="4">
        <v>4</v>
      </c>
      <c r="M26" s="8"/>
      <c r="N26" s="8"/>
      <c r="O26" s="8" t="str">
        <v/>
      </c>
      <c r="P26" s="8"/>
      <c r="Q26" s="8"/>
      <c r="R26" s="13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thickBot="1" x14ac:dyDescent="0.4">
      <c r="A27" s="4">
        <v>9</v>
      </c>
      <c r="B27" s="12" t="s">
        <v>14</v>
      </c>
      <c r="C27" s="7" t="s">
        <v>4</v>
      </c>
      <c r="D27" s="4" t="s">
        <v>2</v>
      </c>
      <c r="E27" s="7" t="s">
        <v>11</v>
      </c>
      <c r="F27" s="4">
        <v>75</v>
      </c>
      <c r="G27" s="4">
        <v>86.42</v>
      </c>
      <c r="H27" s="4">
        <v>12.525</v>
      </c>
      <c r="I27" s="4">
        <v>40</v>
      </c>
      <c r="J27" s="4">
        <v>100</v>
      </c>
      <c r="K27" s="4">
        <v>60</v>
      </c>
      <c r="L27" s="4">
        <v>89</v>
      </c>
      <c r="M27" s="8"/>
      <c r="N27" s="8"/>
      <c r="O27" s="8" t="str">
        <v/>
      </c>
      <c r="P27" s="8"/>
      <c r="Q27" s="8"/>
      <c r="R27" s="14"/>
      <c r="S27" s="9"/>
      <c r="T27" s="9"/>
      <c r="U27" s="9"/>
      <c r="V27" s="5"/>
      <c r="W27" s="5"/>
      <c r="X27" s="5"/>
      <c r="Y27" s="5"/>
      <c r="Z27" s="5"/>
      <c r="AA27" s="5"/>
      <c r="AB27" s="5"/>
    </row>
    <row r="28" spans="1:28" ht="15" thickBot="1" x14ac:dyDescent="0.4">
      <c r="A28" s="4">
        <v>10</v>
      </c>
      <c r="B28" s="12" t="s">
        <v>15</v>
      </c>
      <c r="C28" s="7" t="s">
        <v>1</v>
      </c>
      <c r="D28" s="4" t="s">
        <v>2</v>
      </c>
      <c r="E28" s="7" t="s">
        <v>26</v>
      </c>
      <c r="F28" s="4">
        <v>43</v>
      </c>
      <c r="G28" s="4">
        <v>91</v>
      </c>
      <c r="H28" s="4">
        <v>7.3</v>
      </c>
      <c r="I28" s="8"/>
      <c r="J28" s="8"/>
      <c r="K28" s="8" t="str">
        <v/>
      </c>
      <c r="L28" s="8"/>
      <c r="M28" s="8"/>
      <c r="N28" s="8"/>
      <c r="O28" s="8" t="str">
        <v/>
      </c>
      <c r="P28" s="8"/>
      <c r="Q28" s="8"/>
      <c r="R28" s="13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thickBot="1" x14ac:dyDescent="0.4">
      <c r="A29" s="4">
        <v>10</v>
      </c>
      <c r="B29" s="12" t="s">
        <v>15</v>
      </c>
      <c r="C29" s="7" t="s">
        <v>1</v>
      </c>
      <c r="D29" s="4" t="s">
        <v>2</v>
      </c>
      <c r="E29" s="7" t="s">
        <v>11</v>
      </c>
      <c r="F29" s="4">
        <v>43</v>
      </c>
      <c r="G29" s="4">
        <v>95.2</v>
      </c>
      <c r="H29" s="4">
        <v>6.6</v>
      </c>
      <c r="I29" s="8"/>
      <c r="J29" s="8"/>
      <c r="K29" s="8" t="str">
        <v/>
      </c>
      <c r="L29" s="8"/>
      <c r="M29" s="8"/>
      <c r="N29" s="8"/>
      <c r="O29" s="8" t="str">
        <v/>
      </c>
      <c r="P29" s="8"/>
      <c r="Q29" s="8"/>
      <c r="R29" s="13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thickBot="1" x14ac:dyDescent="0.4">
      <c r="A30" s="4">
        <v>10</v>
      </c>
      <c r="B30" s="12" t="s">
        <v>15</v>
      </c>
      <c r="C30" s="7" t="s">
        <v>1</v>
      </c>
      <c r="D30" s="4" t="s">
        <v>2</v>
      </c>
      <c r="E30" s="7" t="s">
        <v>3</v>
      </c>
      <c r="F30" s="4">
        <v>43</v>
      </c>
      <c r="G30" s="4">
        <v>6.1</v>
      </c>
      <c r="H30" s="4">
        <v>1.1439999999999999</v>
      </c>
      <c r="I30" s="4">
        <v>4</v>
      </c>
      <c r="J30" s="4">
        <v>9</v>
      </c>
      <c r="K30" s="4">
        <v>5</v>
      </c>
      <c r="L30" s="4">
        <v>6</v>
      </c>
      <c r="M30" s="8"/>
      <c r="N30" s="8"/>
      <c r="O30" s="8" t="str">
        <v/>
      </c>
      <c r="P30" s="8"/>
      <c r="Q30" s="8"/>
      <c r="R30" s="13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thickBot="1" x14ac:dyDescent="0.4">
      <c r="A31" s="4">
        <v>10</v>
      </c>
      <c r="B31" s="12" t="s">
        <v>15</v>
      </c>
      <c r="C31" s="7" t="s">
        <v>1</v>
      </c>
      <c r="D31" s="4" t="s">
        <v>2</v>
      </c>
      <c r="E31" s="7" t="s">
        <v>9</v>
      </c>
      <c r="F31" s="4">
        <v>43</v>
      </c>
      <c r="G31" s="4">
        <v>1.05</v>
      </c>
      <c r="H31" s="4">
        <v>1.36</v>
      </c>
      <c r="I31" s="8"/>
      <c r="J31" s="8"/>
      <c r="K31" s="8" t="str">
        <v/>
      </c>
      <c r="L31" s="8"/>
      <c r="M31" s="8"/>
      <c r="N31" s="8"/>
      <c r="O31" s="8" t="str">
        <v/>
      </c>
      <c r="P31" s="8"/>
      <c r="Q31" s="8"/>
      <c r="R31" s="13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thickBot="1" x14ac:dyDescent="0.4">
      <c r="A32" s="4">
        <v>10</v>
      </c>
      <c r="B32" s="12" t="s">
        <v>15</v>
      </c>
      <c r="C32" s="7" t="s">
        <v>31</v>
      </c>
      <c r="D32" s="4" t="s">
        <v>2</v>
      </c>
      <c r="E32" s="7" t="s">
        <v>26</v>
      </c>
      <c r="F32" s="4">
        <v>43</v>
      </c>
      <c r="G32" s="4">
        <v>92</v>
      </c>
      <c r="H32" s="4">
        <v>11.5</v>
      </c>
      <c r="I32" s="8"/>
      <c r="J32" s="8"/>
      <c r="K32" s="8" t="str">
        <v/>
      </c>
      <c r="L32" s="8"/>
      <c r="M32" s="8"/>
      <c r="N32" s="8"/>
      <c r="O32" s="8" t="str">
        <v/>
      </c>
      <c r="P32" s="8"/>
      <c r="Q32" s="8"/>
      <c r="R32" s="13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thickBot="1" x14ac:dyDescent="0.4">
      <c r="A33" s="4">
        <v>10</v>
      </c>
      <c r="B33" s="12" t="s">
        <v>15</v>
      </c>
      <c r="C33" s="7" t="s">
        <v>31</v>
      </c>
      <c r="D33" s="4" t="s">
        <v>2</v>
      </c>
      <c r="E33" s="7" t="s">
        <v>11</v>
      </c>
      <c r="F33" s="4">
        <v>43</v>
      </c>
      <c r="G33" s="4">
        <v>95.6</v>
      </c>
      <c r="H33" s="4">
        <v>7.8</v>
      </c>
      <c r="I33" s="8"/>
      <c r="J33" s="8"/>
      <c r="K33" s="8" t="str">
        <v/>
      </c>
      <c r="L33" s="8"/>
      <c r="M33" s="8"/>
      <c r="N33" s="8"/>
      <c r="O33" s="8" t="str">
        <v/>
      </c>
      <c r="P33" s="8"/>
      <c r="Q33" s="8"/>
      <c r="R33" s="13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thickBot="1" x14ac:dyDescent="0.4">
      <c r="A34" s="4">
        <v>10</v>
      </c>
      <c r="B34" s="12" t="s">
        <v>15</v>
      </c>
      <c r="C34" s="7" t="s">
        <v>31</v>
      </c>
      <c r="D34" s="4" t="s">
        <v>2</v>
      </c>
      <c r="E34" s="7" t="s">
        <v>3</v>
      </c>
      <c r="F34" s="4">
        <v>43</v>
      </c>
      <c r="G34" s="4">
        <v>6.1</v>
      </c>
      <c r="H34" s="4">
        <v>1.1439999999999999</v>
      </c>
      <c r="I34" s="4">
        <v>4</v>
      </c>
      <c r="J34" s="4">
        <v>9</v>
      </c>
      <c r="K34" s="4">
        <v>5</v>
      </c>
      <c r="L34" s="4">
        <v>6</v>
      </c>
      <c r="M34" s="8"/>
      <c r="N34" s="8"/>
      <c r="O34" s="8" t="str">
        <v/>
      </c>
      <c r="P34" s="8"/>
      <c r="Q34" s="8"/>
      <c r="R34" s="13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thickBot="1" x14ac:dyDescent="0.4">
      <c r="A35" s="4">
        <v>10</v>
      </c>
      <c r="B35" s="12" t="s">
        <v>15</v>
      </c>
      <c r="C35" s="7" t="s">
        <v>31</v>
      </c>
      <c r="D35" s="4" t="s">
        <v>2</v>
      </c>
      <c r="E35" s="7" t="s">
        <v>9</v>
      </c>
      <c r="F35" s="4">
        <v>43</v>
      </c>
      <c r="G35" s="4">
        <v>1</v>
      </c>
      <c r="H35" s="4">
        <v>1.095</v>
      </c>
      <c r="I35" s="8"/>
      <c r="J35" s="8"/>
      <c r="K35" s="8" t="str">
        <v/>
      </c>
      <c r="L35" s="8"/>
      <c r="M35" s="8"/>
      <c r="N35" s="8"/>
      <c r="O35" s="8" t="str">
        <v/>
      </c>
      <c r="P35" s="8"/>
      <c r="Q35" s="8"/>
      <c r="R35" s="13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thickBot="1" x14ac:dyDescent="0.4">
      <c r="A36" s="4">
        <v>11</v>
      </c>
      <c r="B36" s="12" t="s">
        <v>35</v>
      </c>
      <c r="C36" s="7" t="s">
        <v>1</v>
      </c>
      <c r="D36" s="4" t="s">
        <v>6</v>
      </c>
      <c r="E36" s="7" t="s">
        <v>8</v>
      </c>
      <c r="F36" s="4">
        <v>22</v>
      </c>
      <c r="G36" s="4">
        <v>0</v>
      </c>
      <c r="H36" s="4">
        <v>0.107</v>
      </c>
      <c r="I36" s="8"/>
      <c r="J36" s="8"/>
      <c r="K36" s="8" t="str">
        <v/>
      </c>
      <c r="L36" s="8"/>
      <c r="M36" s="8"/>
      <c r="N36" s="8"/>
      <c r="O36" s="8" t="str">
        <v/>
      </c>
      <c r="P36" s="8"/>
      <c r="Q36" s="8"/>
      <c r="R36" s="13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thickBot="1" x14ac:dyDescent="0.4">
      <c r="A37" s="4">
        <v>11</v>
      </c>
      <c r="B37" s="12" t="s">
        <v>35</v>
      </c>
      <c r="C37" s="7" t="s">
        <v>1</v>
      </c>
      <c r="D37" s="4" t="s">
        <v>6</v>
      </c>
      <c r="E37" s="7" t="s">
        <v>7</v>
      </c>
      <c r="F37" s="4">
        <v>22</v>
      </c>
      <c r="G37" s="4">
        <v>2</v>
      </c>
      <c r="H37" s="4">
        <v>0.58599999999999997</v>
      </c>
      <c r="I37" s="8"/>
      <c r="J37" s="8"/>
      <c r="K37" s="8" t="str">
        <v/>
      </c>
      <c r="L37" s="8"/>
      <c r="M37" s="8"/>
      <c r="N37" s="8"/>
      <c r="O37" s="8" t="str">
        <v/>
      </c>
      <c r="P37" s="8"/>
      <c r="Q37" s="8"/>
      <c r="R37" s="13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thickBot="1" x14ac:dyDescent="0.4">
      <c r="A38" s="4">
        <v>11</v>
      </c>
      <c r="B38" s="12" t="s">
        <v>35</v>
      </c>
      <c r="C38" s="7" t="s">
        <v>4</v>
      </c>
      <c r="D38" s="4" t="s">
        <v>6</v>
      </c>
      <c r="E38" s="7" t="s">
        <v>8</v>
      </c>
      <c r="F38" s="4">
        <v>22</v>
      </c>
      <c r="G38" s="4">
        <v>6</v>
      </c>
      <c r="H38" s="4">
        <v>1.905</v>
      </c>
      <c r="I38" s="8"/>
      <c r="J38" s="8"/>
      <c r="K38" s="8" t="str">
        <v/>
      </c>
      <c r="L38" s="8"/>
      <c r="M38" s="8"/>
      <c r="N38" s="8"/>
      <c r="O38" s="8" t="str">
        <v/>
      </c>
      <c r="P38" s="8"/>
      <c r="Q38" s="8"/>
      <c r="R38" s="13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thickBot="1" x14ac:dyDescent="0.4">
      <c r="A39" s="4">
        <v>11</v>
      </c>
      <c r="B39" s="12" t="s">
        <v>35</v>
      </c>
      <c r="C39" s="7" t="s">
        <v>4</v>
      </c>
      <c r="D39" s="4" t="s">
        <v>6</v>
      </c>
      <c r="E39" s="7" t="s">
        <v>7</v>
      </c>
      <c r="F39" s="4">
        <v>22</v>
      </c>
      <c r="G39" s="4">
        <v>13</v>
      </c>
      <c r="H39" s="4">
        <v>7.0359999999999996</v>
      </c>
      <c r="I39" s="8"/>
      <c r="J39" s="8"/>
      <c r="K39" s="8" t="str">
        <v/>
      </c>
      <c r="L39" s="8"/>
      <c r="M39" s="8"/>
      <c r="N39" s="8"/>
      <c r="O39" s="8" t="str">
        <v/>
      </c>
      <c r="P39" s="8"/>
      <c r="Q39" s="8"/>
      <c r="R39" s="13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thickBot="1" x14ac:dyDescent="0.4">
      <c r="A40" s="4">
        <v>12</v>
      </c>
      <c r="B40" s="12" t="s">
        <v>39</v>
      </c>
      <c r="C40" s="7" t="s">
        <v>4</v>
      </c>
      <c r="D40" s="4" t="s">
        <v>2</v>
      </c>
      <c r="E40" s="7" t="s">
        <v>26</v>
      </c>
      <c r="F40" s="4">
        <v>62</v>
      </c>
      <c r="G40" s="4">
        <v>90.4</v>
      </c>
      <c r="H40" s="4">
        <v>7.1</v>
      </c>
      <c r="I40" s="8"/>
      <c r="J40" s="8"/>
      <c r="K40" s="8" t="str">
        <v/>
      </c>
      <c r="L40" s="8"/>
      <c r="M40" s="8"/>
      <c r="N40" s="8"/>
      <c r="O40" s="8" t="str">
        <v/>
      </c>
      <c r="P40" s="8"/>
      <c r="Q40" s="8"/>
      <c r="R40" s="13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thickBot="1" x14ac:dyDescent="0.4">
      <c r="A41" s="4">
        <v>12</v>
      </c>
      <c r="B41" s="12" t="s">
        <v>39</v>
      </c>
      <c r="C41" s="7" t="s">
        <v>4</v>
      </c>
      <c r="D41" s="4" t="s">
        <v>2</v>
      </c>
      <c r="E41" s="7" t="s">
        <v>9</v>
      </c>
      <c r="F41" s="4">
        <v>62</v>
      </c>
      <c r="G41" s="4">
        <v>1.71</v>
      </c>
      <c r="H41" s="4">
        <v>0.56999999999999995</v>
      </c>
      <c r="I41" s="8"/>
      <c r="J41" s="8"/>
      <c r="K41" s="8" t="str">
        <v/>
      </c>
      <c r="L41" s="8"/>
      <c r="M41" s="8"/>
      <c r="N41" s="8"/>
      <c r="O41" s="8" t="str">
        <v/>
      </c>
      <c r="P41" s="8"/>
      <c r="Q41" s="8"/>
      <c r="R41" s="13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thickBot="1" x14ac:dyDescent="0.4">
      <c r="A42" s="4">
        <v>12</v>
      </c>
      <c r="B42" s="12" t="s">
        <v>39</v>
      </c>
      <c r="C42" s="7" t="s">
        <v>4</v>
      </c>
      <c r="D42" s="4" t="s">
        <v>6</v>
      </c>
      <c r="E42" s="7" t="s">
        <v>8</v>
      </c>
      <c r="F42" s="4">
        <v>62</v>
      </c>
      <c r="G42" s="4">
        <v>0</v>
      </c>
      <c r="H42" s="4">
        <v>6.4000000000000001E-2</v>
      </c>
      <c r="I42" s="8"/>
      <c r="J42" s="8"/>
      <c r="K42" s="8" t="str">
        <v/>
      </c>
      <c r="L42" s="8"/>
      <c r="M42" s="8"/>
      <c r="N42" s="8"/>
      <c r="O42" s="8" t="str">
        <v/>
      </c>
      <c r="P42" s="8"/>
      <c r="Q42" s="8"/>
      <c r="R42" s="13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thickBot="1" x14ac:dyDescent="0.4">
      <c r="A43" s="4">
        <v>12</v>
      </c>
      <c r="B43" s="12" t="s">
        <v>39</v>
      </c>
      <c r="C43" s="7" t="s">
        <v>42</v>
      </c>
      <c r="D43" s="4" t="s">
        <v>2</v>
      </c>
      <c r="E43" s="7" t="s">
        <v>26</v>
      </c>
      <c r="F43" s="4">
        <v>62</v>
      </c>
      <c r="G43" s="4">
        <v>89.3</v>
      </c>
      <c r="H43" s="4">
        <v>8.4</v>
      </c>
      <c r="I43" s="8"/>
      <c r="J43" s="8"/>
      <c r="K43" s="8" t="str">
        <v/>
      </c>
      <c r="L43" s="8"/>
      <c r="M43" s="8"/>
      <c r="N43" s="8"/>
      <c r="O43" s="8" t="str">
        <v/>
      </c>
      <c r="P43" s="8"/>
      <c r="Q43" s="8"/>
      <c r="R43" s="13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thickBot="1" x14ac:dyDescent="0.4">
      <c r="A44" s="4">
        <v>12</v>
      </c>
      <c r="B44" s="12" t="s">
        <v>39</v>
      </c>
      <c r="C44" s="7" t="s">
        <v>42</v>
      </c>
      <c r="D44" s="4" t="s">
        <v>2</v>
      </c>
      <c r="E44" s="7" t="s">
        <v>9</v>
      </c>
      <c r="F44" s="4">
        <v>62</v>
      </c>
      <c r="G44" s="4">
        <v>1.85</v>
      </c>
      <c r="H44" s="4">
        <v>0.77</v>
      </c>
      <c r="I44" s="8"/>
      <c r="J44" s="8"/>
      <c r="K44" s="8" t="str">
        <v/>
      </c>
      <c r="L44" s="8"/>
      <c r="M44" s="8"/>
      <c r="N44" s="8"/>
      <c r="O44" s="8" t="str">
        <v/>
      </c>
      <c r="P44" s="8"/>
      <c r="Q44" s="8"/>
      <c r="R44" s="13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thickBot="1" x14ac:dyDescent="0.4">
      <c r="A45" s="4">
        <v>12</v>
      </c>
      <c r="B45" s="12" t="s">
        <v>39</v>
      </c>
      <c r="C45" s="7" t="s">
        <v>42</v>
      </c>
      <c r="D45" s="4" t="s">
        <v>6</v>
      </c>
      <c r="E45" s="7" t="s">
        <v>8</v>
      </c>
      <c r="F45" s="4">
        <v>62</v>
      </c>
      <c r="G45" s="4">
        <v>0</v>
      </c>
      <c r="H45" s="4">
        <v>6.4000000000000001E-2</v>
      </c>
      <c r="I45" s="8"/>
      <c r="J45" s="8"/>
      <c r="K45" s="8" t="str">
        <v/>
      </c>
      <c r="L45" s="8"/>
      <c r="M45" s="8"/>
      <c r="N45" s="8"/>
      <c r="O45" s="8" t="str">
        <v/>
      </c>
      <c r="P45" s="8"/>
      <c r="Q45" s="8"/>
      <c r="R45" s="13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thickBot="1" x14ac:dyDescent="0.4">
      <c r="A46" s="4">
        <v>13</v>
      </c>
      <c r="B46" s="12" t="s">
        <v>46</v>
      </c>
      <c r="C46" s="7" t="s">
        <v>1</v>
      </c>
      <c r="D46" s="4" t="s">
        <v>6</v>
      </c>
      <c r="E46" s="7" t="s">
        <v>7</v>
      </c>
      <c r="F46" s="4">
        <v>61</v>
      </c>
      <c r="G46" s="4">
        <v>7</v>
      </c>
      <c r="H46" s="4">
        <v>1.085</v>
      </c>
      <c r="I46" s="8"/>
      <c r="J46" s="8"/>
      <c r="K46" s="8" t="str">
        <v/>
      </c>
      <c r="L46" s="8"/>
      <c r="M46" s="8"/>
      <c r="N46" s="8"/>
      <c r="O46" s="8" t="str">
        <v/>
      </c>
      <c r="P46" s="8"/>
      <c r="Q46" s="8"/>
      <c r="R46" s="13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thickBot="1" x14ac:dyDescent="0.4">
      <c r="A47" s="4">
        <v>13</v>
      </c>
      <c r="B47" s="12" t="s">
        <v>46</v>
      </c>
      <c r="C47" s="7" t="s">
        <v>1</v>
      </c>
      <c r="D47" s="4" t="s">
        <v>6</v>
      </c>
      <c r="E47" s="7" t="s">
        <v>8</v>
      </c>
      <c r="F47" s="4">
        <v>61</v>
      </c>
      <c r="G47" s="4">
        <v>12</v>
      </c>
      <c r="H47" s="4">
        <v>1.992</v>
      </c>
      <c r="I47" s="8"/>
      <c r="J47" s="8"/>
      <c r="K47" s="8" t="str">
        <v/>
      </c>
      <c r="L47" s="8"/>
      <c r="M47" s="8"/>
      <c r="N47" s="8"/>
      <c r="O47" s="8" t="str">
        <v/>
      </c>
      <c r="P47" s="8"/>
      <c r="Q47" s="8"/>
      <c r="R47" s="13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thickBot="1" x14ac:dyDescent="0.4">
      <c r="A48" s="4">
        <v>13</v>
      </c>
      <c r="B48" s="12" t="s">
        <v>46</v>
      </c>
      <c r="C48" s="7" t="s">
        <v>1</v>
      </c>
      <c r="D48" s="4" t="s">
        <v>2</v>
      </c>
      <c r="E48" s="7" t="s">
        <v>26</v>
      </c>
      <c r="F48" s="4">
        <v>61</v>
      </c>
      <c r="G48" s="4">
        <v>67.3</v>
      </c>
      <c r="H48" s="4">
        <v>20.8</v>
      </c>
      <c r="I48" s="8"/>
      <c r="J48" s="8"/>
      <c r="K48" s="8" t="str">
        <v/>
      </c>
      <c r="L48" s="8"/>
      <c r="M48" s="8"/>
      <c r="N48" s="8"/>
      <c r="O48" s="8" t="str">
        <v/>
      </c>
      <c r="P48" s="8"/>
      <c r="Q48" s="8"/>
      <c r="R48" s="13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thickBot="1" x14ac:dyDescent="0.4">
      <c r="A49" s="4">
        <v>13</v>
      </c>
      <c r="B49" s="12" t="s">
        <v>46</v>
      </c>
      <c r="C49" s="7" t="s">
        <v>1</v>
      </c>
      <c r="D49" s="4" t="s">
        <v>2</v>
      </c>
      <c r="E49" s="7" t="s">
        <v>3</v>
      </c>
      <c r="F49" s="4">
        <v>61</v>
      </c>
      <c r="G49" s="4">
        <v>4.0999999999999996</v>
      </c>
      <c r="H49" s="4">
        <v>1.7</v>
      </c>
      <c r="I49" s="8"/>
      <c r="J49" s="8"/>
      <c r="K49" s="8" t="str">
        <v/>
      </c>
      <c r="L49" s="8"/>
      <c r="M49" s="8"/>
      <c r="N49" s="8"/>
      <c r="O49" s="8" t="str">
        <v/>
      </c>
      <c r="P49" s="8"/>
      <c r="Q49" s="8"/>
      <c r="R49" s="13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thickBot="1" x14ac:dyDescent="0.4">
      <c r="A50" s="4">
        <v>13</v>
      </c>
      <c r="B50" s="12" t="s">
        <v>46</v>
      </c>
      <c r="C50" s="7" t="s">
        <v>1</v>
      </c>
      <c r="D50" s="4" t="s">
        <v>2</v>
      </c>
      <c r="E50" s="7" t="s">
        <v>11</v>
      </c>
      <c r="F50" s="4">
        <v>61</v>
      </c>
      <c r="G50" s="4">
        <v>79.400000000000006</v>
      </c>
      <c r="H50" s="4">
        <v>16.899999999999999</v>
      </c>
      <c r="I50" s="8"/>
      <c r="J50" s="8"/>
      <c r="K50" s="8" t="str">
        <v/>
      </c>
      <c r="L50" s="8"/>
      <c r="M50" s="8"/>
      <c r="N50" s="8"/>
      <c r="O50" s="8" t="str">
        <v/>
      </c>
      <c r="P50" s="8"/>
      <c r="Q50" s="8"/>
      <c r="R50" s="13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thickBot="1" x14ac:dyDescent="0.4">
      <c r="A51" s="4">
        <v>13</v>
      </c>
      <c r="B51" s="12" t="s">
        <v>46</v>
      </c>
      <c r="C51" s="7" t="s">
        <v>4</v>
      </c>
      <c r="D51" s="4" t="s">
        <v>6</v>
      </c>
      <c r="E51" s="7" t="s">
        <v>7</v>
      </c>
      <c r="F51" s="4">
        <v>86</v>
      </c>
      <c r="G51" s="4">
        <v>20</v>
      </c>
      <c r="H51" s="4">
        <v>2.88</v>
      </c>
      <c r="I51" s="8"/>
      <c r="J51" s="8"/>
      <c r="K51" s="8" t="str">
        <v/>
      </c>
      <c r="L51" s="8"/>
      <c r="M51" s="8"/>
      <c r="N51" s="8"/>
      <c r="O51" s="8" t="str">
        <v/>
      </c>
      <c r="P51" s="8"/>
      <c r="Q51" s="8"/>
      <c r="R51" s="13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thickBot="1" x14ac:dyDescent="0.4">
      <c r="A52" s="4">
        <v>13</v>
      </c>
      <c r="B52" s="12" t="s">
        <v>46</v>
      </c>
      <c r="C52" s="7" t="s">
        <v>4</v>
      </c>
      <c r="D52" s="4" t="s">
        <v>6</v>
      </c>
      <c r="E52" s="7" t="s">
        <v>8</v>
      </c>
      <c r="F52" s="4">
        <v>86</v>
      </c>
      <c r="G52" s="4">
        <v>13</v>
      </c>
      <c r="H52" s="4">
        <v>1.7150000000000001</v>
      </c>
      <c r="I52" s="8"/>
      <c r="J52" s="8"/>
      <c r="K52" s="8" t="str">
        <v/>
      </c>
      <c r="L52" s="8"/>
      <c r="M52" s="8"/>
      <c r="N52" s="8"/>
      <c r="O52" s="8" t="str">
        <v/>
      </c>
      <c r="P52" s="8"/>
      <c r="Q52" s="8"/>
      <c r="R52" s="13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thickBot="1" x14ac:dyDescent="0.4">
      <c r="A53" s="4">
        <v>13</v>
      </c>
      <c r="B53" s="12" t="s">
        <v>46</v>
      </c>
      <c r="C53" s="7" t="s">
        <v>4</v>
      </c>
      <c r="D53" s="4" t="s">
        <v>2</v>
      </c>
      <c r="E53" s="7" t="s">
        <v>26</v>
      </c>
      <c r="F53" s="4">
        <v>86</v>
      </c>
      <c r="G53" s="4">
        <v>74</v>
      </c>
      <c r="H53" s="4">
        <v>18.8</v>
      </c>
      <c r="I53" s="8"/>
      <c r="J53" s="8"/>
      <c r="K53" s="8" t="str">
        <v/>
      </c>
      <c r="L53" s="8"/>
      <c r="M53" s="8"/>
      <c r="N53" s="8"/>
      <c r="O53" s="8" t="str">
        <v/>
      </c>
      <c r="P53" s="8"/>
      <c r="Q53" s="8"/>
      <c r="R53" s="13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thickBot="1" x14ac:dyDescent="0.4">
      <c r="A54" s="4">
        <v>13</v>
      </c>
      <c r="B54" s="12" t="s">
        <v>46</v>
      </c>
      <c r="C54" s="7" t="s">
        <v>4</v>
      </c>
      <c r="D54" s="4" t="s">
        <v>2</v>
      </c>
      <c r="E54" s="7" t="s">
        <v>3</v>
      </c>
      <c r="F54" s="4">
        <v>86</v>
      </c>
      <c r="G54" s="4">
        <v>4</v>
      </c>
      <c r="H54" s="4">
        <v>1.7</v>
      </c>
      <c r="I54" s="8"/>
      <c r="J54" s="8"/>
      <c r="K54" s="8" t="str">
        <v/>
      </c>
      <c r="L54" s="8"/>
      <c r="M54" s="8"/>
      <c r="N54" s="8"/>
      <c r="O54" s="8" t="str">
        <v/>
      </c>
      <c r="P54" s="8"/>
      <c r="Q54" s="8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thickBot="1" x14ac:dyDescent="0.4">
      <c r="A55" s="4">
        <v>13</v>
      </c>
      <c r="B55" s="12" t="s">
        <v>46</v>
      </c>
      <c r="C55" s="7" t="s">
        <v>4</v>
      </c>
      <c r="D55" s="4" t="s">
        <v>2</v>
      </c>
      <c r="E55" s="7" t="s">
        <v>11</v>
      </c>
      <c r="F55" s="4">
        <v>86</v>
      </c>
      <c r="G55" s="4">
        <v>80.7</v>
      </c>
      <c r="H55" s="4">
        <v>15.3</v>
      </c>
      <c r="I55" s="8"/>
      <c r="J55" s="8"/>
      <c r="K55" s="8" t="str">
        <v/>
      </c>
      <c r="L55" s="8"/>
      <c r="M55" s="8"/>
      <c r="N55" s="8"/>
      <c r="O55" s="8" t="str">
        <v/>
      </c>
      <c r="P55" s="8"/>
      <c r="Q55" s="8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thickBot="1" x14ac:dyDescent="0.4">
      <c r="A56" s="4">
        <v>14</v>
      </c>
      <c r="B56" s="12" t="s">
        <v>16</v>
      </c>
      <c r="C56" s="7" t="s">
        <v>4</v>
      </c>
      <c r="D56" s="4" t="s">
        <v>2</v>
      </c>
      <c r="E56" s="7" t="s">
        <v>26</v>
      </c>
      <c r="F56" s="4">
        <v>44</v>
      </c>
      <c r="G56" s="4">
        <v>79.5</v>
      </c>
      <c r="H56" s="4">
        <v>24.7</v>
      </c>
      <c r="I56" s="8"/>
      <c r="J56" s="8"/>
      <c r="K56" s="8" t="str">
        <v/>
      </c>
      <c r="L56" s="8"/>
      <c r="M56" s="8"/>
      <c r="N56" s="8"/>
      <c r="O56" s="8" t="str">
        <v/>
      </c>
      <c r="P56" s="8"/>
      <c r="Q56" s="8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thickBot="1" x14ac:dyDescent="0.4">
      <c r="A57" s="4">
        <v>14</v>
      </c>
      <c r="B57" s="12" t="s">
        <v>16</v>
      </c>
      <c r="C57" s="7" t="s">
        <v>4</v>
      </c>
      <c r="D57" s="4" t="s">
        <v>2</v>
      </c>
      <c r="E57" s="7" t="s">
        <v>3</v>
      </c>
      <c r="F57" s="4">
        <v>44</v>
      </c>
      <c r="G57" s="4">
        <v>5.0999999999999996</v>
      </c>
      <c r="H57" s="4">
        <v>2.2000000000000002</v>
      </c>
      <c r="I57" s="8"/>
      <c r="J57" s="8"/>
      <c r="K57" s="8" t="str">
        <v/>
      </c>
      <c r="L57" s="8"/>
      <c r="M57" s="8"/>
      <c r="N57" s="8"/>
      <c r="O57" s="8" t="str">
        <v/>
      </c>
      <c r="P57" s="8"/>
      <c r="Q57" s="8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thickBot="1" x14ac:dyDescent="0.4">
      <c r="A58" s="4">
        <v>14</v>
      </c>
      <c r="B58" s="12" t="s">
        <v>16</v>
      </c>
      <c r="C58" s="7" t="s">
        <v>55</v>
      </c>
      <c r="D58" s="4" t="s">
        <v>2</v>
      </c>
      <c r="E58" s="7" t="s">
        <v>26</v>
      </c>
      <c r="F58" s="4">
        <v>36</v>
      </c>
      <c r="G58" s="4">
        <v>81.099999999999994</v>
      </c>
      <c r="H58" s="4">
        <v>23.1</v>
      </c>
      <c r="I58" s="8"/>
      <c r="J58" s="8"/>
      <c r="K58" s="8" t="str">
        <v/>
      </c>
      <c r="L58" s="8"/>
      <c r="M58" s="8"/>
      <c r="N58" s="8"/>
      <c r="O58" s="8" t="str">
        <v/>
      </c>
      <c r="P58" s="8"/>
      <c r="Q58" s="8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thickBot="1" x14ac:dyDescent="0.4">
      <c r="A59" s="4">
        <v>14</v>
      </c>
      <c r="B59" s="12" t="s">
        <v>16</v>
      </c>
      <c r="C59" s="7" t="s">
        <v>55</v>
      </c>
      <c r="D59" s="4" t="s">
        <v>2</v>
      </c>
      <c r="E59" s="7" t="s">
        <v>3</v>
      </c>
      <c r="F59" s="4">
        <v>36</v>
      </c>
      <c r="G59" s="4">
        <v>5.0999999999999996</v>
      </c>
      <c r="H59" s="4">
        <v>2</v>
      </c>
      <c r="I59" s="8"/>
      <c r="J59" s="8"/>
      <c r="K59" s="8" t="str">
        <v/>
      </c>
      <c r="L59" s="8"/>
      <c r="M59" s="8"/>
      <c r="N59" s="8"/>
      <c r="O59" s="8" t="str">
        <v/>
      </c>
      <c r="P59" s="8"/>
      <c r="Q59" s="8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thickBot="1" x14ac:dyDescent="0.4">
      <c r="A60" s="4">
        <v>18</v>
      </c>
      <c r="B60" s="12" t="s">
        <v>56</v>
      </c>
      <c r="C60" s="7" t="s">
        <v>4</v>
      </c>
      <c r="D60" s="4" t="s">
        <v>2</v>
      </c>
      <c r="E60" s="7" t="s">
        <v>11</v>
      </c>
      <c r="F60" s="4">
        <v>30</v>
      </c>
      <c r="G60" s="4">
        <v>95.1</v>
      </c>
      <c r="H60" s="4">
        <v>5.2</v>
      </c>
      <c r="I60" s="8"/>
      <c r="J60" s="8"/>
      <c r="K60" s="8" t="str">
        <v/>
      </c>
      <c r="L60" s="8"/>
      <c r="M60" s="8"/>
      <c r="N60" s="8"/>
      <c r="O60" s="8" t="str">
        <v/>
      </c>
      <c r="P60" s="8"/>
      <c r="Q60" s="8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thickBot="1" x14ac:dyDescent="0.4">
      <c r="A61" s="4">
        <v>18</v>
      </c>
      <c r="B61" s="12" t="s">
        <v>56</v>
      </c>
      <c r="C61" s="7" t="s">
        <v>4</v>
      </c>
      <c r="D61" s="4" t="s">
        <v>2</v>
      </c>
      <c r="E61" s="7" t="s">
        <v>26</v>
      </c>
      <c r="F61" s="4">
        <v>30</v>
      </c>
      <c r="G61" s="4">
        <v>89.7</v>
      </c>
      <c r="H61" s="4">
        <v>5.7</v>
      </c>
      <c r="I61" s="8"/>
      <c r="J61" s="8"/>
      <c r="K61" s="8" t="str">
        <v/>
      </c>
      <c r="L61" s="8"/>
      <c r="M61" s="8"/>
      <c r="N61" s="8"/>
      <c r="O61" s="8" t="str">
        <v/>
      </c>
      <c r="P61" s="8"/>
      <c r="Q61" s="8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thickBot="1" x14ac:dyDescent="0.4">
      <c r="A62" s="4">
        <v>18</v>
      </c>
      <c r="B62" s="12" t="s">
        <v>56</v>
      </c>
      <c r="C62" s="7" t="s">
        <v>42</v>
      </c>
      <c r="D62" s="4" t="s">
        <v>2</v>
      </c>
      <c r="E62" s="7" t="s">
        <v>11</v>
      </c>
      <c r="F62" s="4">
        <v>30</v>
      </c>
      <c r="G62" s="4">
        <v>94.5</v>
      </c>
      <c r="H62" s="4">
        <v>6.4</v>
      </c>
      <c r="I62" s="8"/>
      <c r="J62" s="8"/>
      <c r="K62" s="8" t="str">
        <v/>
      </c>
      <c r="L62" s="8"/>
      <c r="M62" s="8"/>
      <c r="N62" s="8"/>
      <c r="O62" s="8" t="str">
        <v/>
      </c>
      <c r="P62" s="8"/>
      <c r="Q62" s="8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thickBot="1" x14ac:dyDescent="0.4">
      <c r="A63" s="4">
        <v>18</v>
      </c>
      <c r="B63" s="12" t="s">
        <v>56</v>
      </c>
      <c r="C63" s="7" t="s">
        <v>42</v>
      </c>
      <c r="D63" s="4" t="s">
        <v>2</v>
      </c>
      <c r="E63" s="7" t="s">
        <v>26</v>
      </c>
      <c r="F63" s="4">
        <v>30</v>
      </c>
      <c r="G63" s="4">
        <v>89.9</v>
      </c>
      <c r="H63" s="4">
        <v>9.8000000000000007</v>
      </c>
      <c r="I63" s="8"/>
      <c r="J63" s="8"/>
      <c r="K63" s="8" t="str">
        <v/>
      </c>
      <c r="L63" s="8"/>
      <c r="M63" s="8"/>
      <c r="N63" s="8"/>
      <c r="O63" s="8" t="str">
        <v/>
      </c>
      <c r="P63" s="8"/>
      <c r="Q63" s="8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thickBot="1" x14ac:dyDescent="0.4">
      <c r="A64" s="4">
        <v>19</v>
      </c>
      <c r="B64" s="12" t="s">
        <v>17</v>
      </c>
      <c r="C64" s="7" t="s">
        <v>4</v>
      </c>
      <c r="D64" s="4" t="s">
        <v>2</v>
      </c>
      <c r="E64" s="7" t="s">
        <v>26</v>
      </c>
      <c r="F64" s="4">
        <v>92</v>
      </c>
      <c r="G64" s="4">
        <v>92</v>
      </c>
      <c r="H64" s="4">
        <v>8</v>
      </c>
      <c r="I64" s="8"/>
      <c r="J64" s="8"/>
      <c r="K64" s="8" t="str">
        <v/>
      </c>
      <c r="L64" s="8"/>
      <c r="M64" s="8"/>
      <c r="N64" s="8"/>
      <c r="O64" s="8" t="str">
        <v/>
      </c>
      <c r="P64" s="8"/>
      <c r="Q64" s="8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thickBot="1" x14ac:dyDescent="0.4">
      <c r="A65" s="4">
        <v>19</v>
      </c>
      <c r="B65" s="12" t="s">
        <v>17</v>
      </c>
      <c r="C65" s="7" t="s">
        <v>4</v>
      </c>
      <c r="D65" s="4" t="s">
        <v>2</v>
      </c>
      <c r="E65" s="7" t="s">
        <v>11</v>
      </c>
      <c r="F65" s="4">
        <v>92</v>
      </c>
      <c r="G65" s="4">
        <v>94</v>
      </c>
      <c r="H65" s="4">
        <v>7</v>
      </c>
      <c r="I65" s="8"/>
      <c r="J65" s="8"/>
      <c r="K65" s="8" t="str">
        <v/>
      </c>
      <c r="L65" s="8"/>
      <c r="M65" s="8"/>
      <c r="N65" s="8"/>
      <c r="O65" s="8" t="str">
        <v/>
      </c>
      <c r="P65" s="8"/>
      <c r="Q65" s="8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thickBot="1" x14ac:dyDescent="0.4">
      <c r="A66" s="4">
        <v>19</v>
      </c>
      <c r="B66" s="12" t="s">
        <v>17</v>
      </c>
      <c r="C66" s="7" t="s">
        <v>31</v>
      </c>
      <c r="D66" s="4" t="s">
        <v>2</v>
      </c>
      <c r="E66" s="7" t="s">
        <v>26</v>
      </c>
      <c r="F66" s="4">
        <v>89</v>
      </c>
      <c r="G66" s="4">
        <v>89</v>
      </c>
      <c r="H66" s="4">
        <v>10</v>
      </c>
      <c r="I66" s="8"/>
      <c r="J66" s="8"/>
      <c r="K66" s="8" t="str">
        <v/>
      </c>
      <c r="L66" s="8"/>
      <c r="M66" s="8"/>
      <c r="N66" s="8"/>
      <c r="O66" s="8" t="str">
        <v/>
      </c>
      <c r="P66" s="8"/>
      <c r="Q66" s="8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thickBot="1" x14ac:dyDescent="0.4">
      <c r="A67" s="4">
        <v>19</v>
      </c>
      <c r="B67" s="12" t="s">
        <v>17</v>
      </c>
      <c r="C67" s="7" t="s">
        <v>31</v>
      </c>
      <c r="D67" s="4" t="s">
        <v>2</v>
      </c>
      <c r="E67" s="7" t="s">
        <v>11</v>
      </c>
      <c r="F67" s="4">
        <v>89</v>
      </c>
      <c r="G67" s="4">
        <v>93</v>
      </c>
      <c r="H67" s="4">
        <v>8</v>
      </c>
      <c r="I67" s="8"/>
      <c r="J67" s="8"/>
      <c r="K67" s="8" t="str">
        <v/>
      </c>
      <c r="L67" s="8"/>
      <c r="M67" s="8"/>
      <c r="N67" s="8"/>
      <c r="O67" s="8" t="str">
        <v/>
      </c>
      <c r="P67" s="8"/>
      <c r="Q67" s="8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thickBot="1" x14ac:dyDescent="0.4">
      <c r="A68" s="4">
        <v>23</v>
      </c>
      <c r="B68" s="12" t="s">
        <v>20</v>
      </c>
      <c r="C68" s="7" t="s">
        <v>1</v>
      </c>
      <c r="D68" s="4" t="s">
        <v>2</v>
      </c>
      <c r="E68" s="7" t="s">
        <v>3</v>
      </c>
      <c r="F68" s="4">
        <v>32</v>
      </c>
      <c r="G68" s="4">
        <v>5.77</v>
      </c>
      <c r="H68" s="4">
        <v>1.9350000000000001</v>
      </c>
      <c r="I68" s="4">
        <v>1</v>
      </c>
      <c r="J68" s="4">
        <v>9</v>
      </c>
      <c r="K68" s="4">
        <v>8</v>
      </c>
      <c r="L68" s="4">
        <v>6</v>
      </c>
      <c r="M68" s="8"/>
      <c r="N68" s="8"/>
      <c r="O68" s="8" t="str">
        <v/>
      </c>
      <c r="P68" s="8"/>
      <c r="Q68" s="8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thickBot="1" x14ac:dyDescent="0.4">
      <c r="A69" s="4">
        <v>23</v>
      </c>
      <c r="B69" s="12" t="s">
        <v>20</v>
      </c>
      <c r="C69" s="7" t="s">
        <v>1</v>
      </c>
      <c r="D69" s="4" t="s">
        <v>2</v>
      </c>
      <c r="E69" s="7" t="s">
        <v>11</v>
      </c>
      <c r="F69" s="4">
        <v>32</v>
      </c>
      <c r="G69" s="4">
        <v>89.96</v>
      </c>
      <c r="H69" s="4">
        <v>13.064</v>
      </c>
      <c r="I69" s="4">
        <v>46</v>
      </c>
      <c r="J69" s="4">
        <v>100</v>
      </c>
      <c r="K69" s="4">
        <v>54</v>
      </c>
      <c r="L69" s="4">
        <v>95</v>
      </c>
      <c r="M69" s="8"/>
      <c r="N69" s="8"/>
      <c r="O69" s="8" t="str">
        <v/>
      </c>
      <c r="P69" s="8"/>
      <c r="Q69" s="8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thickBot="1" x14ac:dyDescent="0.4">
      <c r="A70" s="4">
        <v>23</v>
      </c>
      <c r="B70" s="12" t="s">
        <v>20</v>
      </c>
      <c r="C70" s="7" t="s">
        <v>1</v>
      </c>
      <c r="D70" s="4" t="s">
        <v>2</v>
      </c>
      <c r="E70" s="7" t="s">
        <v>9</v>
      </c>
      <c r="F70" s="4">
        <v>32</v>
      </c>
      <c r="G70" s="4">
        <v>2.29</v>
      </c>
      <c r="H70" s="4">
        <v>3.992</v>
      </c>
      <c r="I70" s="4">
        <v>-5</v>
      </c>
      <c r="J70" s="4">
        <v>11.5</v>
      </c>
      <c r="K70" s="4">
        <v>16.5</v>
      </c>
      <c r="L70" s="4">
        <v>2</v>
      </c>
      <c r="M70" s="8"/>
      <c r="N70" s="8"/>
      <c r="O70" s="8" t="str">
        <v/>
      </c>
      <c r="P70" s="8"/>
      <c r="Q70" s="8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thickBot="1" x14ac:dyDescent="0.4">
      <c r="A71" s="4">
        <v>23</v>
      </c>
      <c r="B71" s="12" t="s">
        <v>20</v>
      </c>
      <c r="C71" s="7" t="s">
        <v>1</v>
      </c>
      <c r="D71" s="4" t="s">
        <v>6</v>
      </c>
      <c r="E71" s="7" t="s">
        <v>7</v>
      </c>
      <c r="F71" s="4">
        <v>32</v>
      </c>
      <c r="G71" s="4">
        <v>15</v>
      </c>
      <c r="H71" s="4">
        <v>5.1580000000000004</v>
      </c>
      <c r="I71" s="8"/>
      <c r="J71" s="8"/>
      <c r="K71" s="8" t="str">
        <v/>
      </c>
      <c r="L71" s="8"/>
      <c r="M71" s="8"/>
      <c r="N71" s="8"/>
      <c r="O71" s="8" t="str">
        <v/>
      </c>
      <c r="P71" s="8"/>
      <c r="Q71" s="8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thickBot="1" x14ac:dyDescent="0.4">
      <c r="A72" s="4">
        <v>23</v>
      </c>
      <c r="B72" s="12" t="s">
        <v>20</v>
      </c>
      <c r="C72" s="7" t="s">
        <v>4</v>
      </c>
      <c r="D72" s="4" t="s">
        <v>2</v>
      </c>
      <c r="E72" s="7" t="s">
        <v>3</v>
      </c>
      <c r="F72" s="4">
        <v>34</v>
      </c>
      <c r="G72" s="4">
        <v>6.39</v>
      </c>
      <c r="H72" s="4">
        <v>1.4339999999999999</v>
      </c>
      <c r="I72" s="4">
        <v>3</v>
      </c>
      <c r="J72" s="4">
        <v>9</v>
      </c>
      <c r="K72" s="4">
        <v>6</v>
      </c>
      <c r="L72" s="4">
        <v>6.5</v>
      </c>
      <c r="M72" s="8"/>
      <c r="N72" s="8"/>
      <c r="O72" s="8" t="str">
        <v/>
      </c>
      <c r="P72" s="8"/>
      <c r="Q72" s="8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thickBot="1" x14ac:dyDescent="0.4">
      <c r="A73" s="4">
        <v>23</v>
      </c>
      <c r="B73" s="12" t="s">
        <v>20</v>
      </c>
      <c r="C73" s="7" t="s">
        <v>4</v>
      </c>
      <c r="D73" s="4" t="s">
        <v>2</v>
      </c>
      <c r="E73" s="7" t="s">
        <v>11</v>
      </c>
      <c r="F73" s="4">
        <v>34</v>
      </c>
      <c r="G73" s="4">
        <v>86.79</v>
      </c>
      <c r="H73" s="4">
        <v>11.715</v>
      </c>
      <c r="I73" s="4">
        <v>51</v>
      </c>
      <c r="J73" s="4">
        <v>100</v>
      </c>
      <c r="K73" s="4">
        <v>49</v>
      </c>
      <c r="L73" s="4">
        <v>90</v>
      </c>
      <c r="M73" s="8"/>
      <c r="N73" s="8"/>
      <c r="O73" s="8" t="str">
        <v/>
      </c>
      <c r="P73" s="8"/>
      <c r="Q73" s="8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thickBot="1" x14ac:dyDescent="0.4">
      <c r="A74" s="4">
        <v>23</v>
      </c>
      <c r="B74" s="12" t="s">
        <v>20</v>
      </c>
      <c r="C74" s="7" t="s">
        <v>4</v>
      </c>
      <c r="D74" s="4" t="s">
        <v>2</v>
      </c>
      <c r="E74" s="7" t="s">
        <v>9</v>
      </c>
      <c r="F74" s="4">
        <v>34</v>
      </c>
      <c r="G74" s="4">
        <v>2.4700000000000002</v>
      </c>
      <c r="H74" s="4">
        <v>3.4670000000000001</v>
      </c>
      <c r="I74" s="4">
        <v>-4</v>
      </c>
      <c r="J74" s="4">
        <v>10.5</v>
      </c>
      <c r="K74" s="4">
        <v>14.5</v>
      </c>
      <c r="L74" s="4">
        <v>2.25</v>
      </c>
      <c r="M74" s="8"/>
      <c r="N74" s="8"/>
      <c r="O74" s="8" t="str">
        <v/>
      </c>
      <c r="P74" s="8"/>
      <c r="Q74" s="8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thickBot="1" x14ac:dyDescent="0.4">
      <c r="A75" s="4">
        <v>23</v>
      </c>
      <c r="B75" s="12" t="s">
        <v>20</v>
      </c>
      <c r="C75" s="7" t="s">
        <v>4</v>
      </c>
      <c r="D75" s="4" t="s">
        <v>6</v>
      </c>
      <c r="E75" s="7" t="s">
        <v>7</v>
      </c>
      <c r="F75" s="4">
        <v>34</v>
      </c>
      <c r="G75" s="4">
        <v>14</v>
      </c>
      <c r="H75" s="4">
        <v>4.2270000000000003</v>
      </c>
      <c r="I75" s="8"/>
      <c r="J75" s="8"/>
      <c r="K75" s="8" t="str">
        <v/>
      </c>
      <c r="L75" s="8"/>
      <c r="M75" s="8"/>
      <c r="N75" s="8"/>
      <c r="O75" s="8" t="str">
        <v/>
      </c>
      <c r="P75" s="8"/>
      <c r="Q75" s="8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thickBot="1" x14ac:dyDescent="0.4">
      <c r="A76" s="4">
        <v>25</v>
      </c>
      <c r="B76" s="12" t="s">
        <v>21</v>
      </c>
      <c r="C76" s="7" t="s">
        <v>1</v>
      </c>
      <c r="D76" s="4" t="s">
        <v>2</v>
      </c>
      <c r="E76" s="7" t="s">
        <v>9</v>
      </c>
      <c r="F76" s="4">
        <v>42</v>
      </c>
      <c r="G76" s="4">
        <v>0.95</v>
      </c>
      <c r="H76" s="4">
        <v>0.91</v>
      </c>
      <c r="I76" s="8"/>
      <c r="J76" s="8"/>
      <c r="K76" s="8" t="str">
        <v/>
      </c>
      <c r="L76" s="8"/>
      <c r="M76" s="8"/>
      <c r="N76" s="8"/>
      <c r="O76" s="8" t="str">
        <v/>
      </c>
      <c r="P76" s="8"/>
      <c r="Q76" s="8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thickBot="1" x14ac:dyDescent="0.4">
      <c r="A77" s="4">
        <v>25</v>
      </c>
      <c r="B77" s="12" t="s">
        <v>21</v>
      </c>
      <c r="C77" s="7" t="s">
        <v>1</v>
      </c>
      <c r="D77" s="4" t="s">
        <v>6</v>
      </c>
      <c r="E77" s="7" t="s">
        <v>8</v>
      </c>
      <c r="F77" s="4">
        <v>42</v>
      </c>
      <c r="G77" s="4">
        <v>2</v>
      </c>
      <c r="H77" s="4">
        <v>0.40500000000000003</v>
      </c>
      <c r="I77" s="8"/>
      <c r="J77" s="8"/>
      <c r="K77" s="8" t="str">
        <v/>
      </c>
      <c r="L77" s="8"/>
      <c r="M77" s="8"/>
      <c r="N77" s="8"/>
      <c r="O77" s="8" t="str">
        <v/>
      </c>
      <c r="P77" s="8"/>
      <c r="Q77" s="8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thickBot="1" x14ac:dyDescent="0.4">
      <c r="A78" s="4">
        <v>25</v>
      </c>
      <c r="B78" s="12" t="s">
        <v>21</v>
      </c>
      <c r="C78" s="7" t="s">
        <v>4</v>
      </c>
      <c r="D78" s="4" t="s">
        <v>2</v>
      </c>
      <c r="E78" s="7" t="s">
        <v>9</v>
      </c>
      <c r="F78" s="4">
        <v>47</v>
      </c>
      <c r="G78" s="4">
        <v>1.1000000000000001</v>
      </c>
      <c r="H78" s="4">
        <v>0.95</v>
      </c>
      <c r="I78" s="8"/>
      <c r="J78" s="8"/>
      <c r="K78" s="8" t="str">
        <v/>
      </c>
      <c r="L78" s="8"/>
      <c r="M78" s="8"/>
      <c r="N78" s="8"/>
      <c r="O78" s="8" t="str">
        <v/>
      </c>
      <c r="P78" s="8"/>
      <c r="Q78" s="8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thickBot="1" x14ac:dyDescent="0.4">
      <c r="A79" s="4">
        <v>25</v>
      </c>
      <c r="B79" s="12" t="s">
        <v>21</v>
      </c>
      <c r="C79" s="7" t="s">
        <v>4</v>
      </c>
      <c r="D79" s="4" t="s">
        <v>6</v>
      </c>
      <c r="E79" s="7" t="s">
        <v>8</v>
      </c>
      <c r="F79" s="4">
        <v>47</v>
      </c>
      <c r="G79" s="4">
        <v>9</v>
      </c>
      <c r="H79" s="4">
        <v>1.714</v>
      </c>
      <c r="I79" s="8"/>
      <c r="J79" s="8"/>
      <c r="K79" s="8" t="str">
        <v/>
      </c>
      <c r="L79" s="8"/>
      <c r="M79" s="8"/>
      <c r="N79" s="8"/>
      <c r="O79" s="8" t="str">
        <v/>
      </c>
      <c r="P79" s="8"/>
      <c r="Q79" s="8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thickBot="1" x14ac:dyDescent="0.4">
      <c r="A80" s="4">
        <v>26</v>
      </c>
      <c r="B80" s="12" t="s">
        <v>22</v>
      </c>
      <c r="C80" s="7" t="s">
        <v>1</v>
      </c>
      <c r="D80" s="4" t="s">
        <v>2</v>
      </c>
      <c r="E80" s="7" t="s">
        <v>9</v>
      </c>
      <c r="F80" s="4">
        <v>27</v>
      </c>
      <c r="G80" s="4">
        <v>0.5</v>
      </c>
      <c r="H80" s="4">
        <v>1</v>
      </c>
      <c r="I80" s="8"/>
      <c r="J80" s="8"/>
      <c r="K80" s="8" t="str">
        <v/>
      </c>
      <c r="L80" s="8"/>
      <c r="M80" s="8"/>
      <c r="N80" s="8"/>
      <c r="O80" s="8" t="str">
        <v/>
      </c>
      <c r="P80" s="8"/>
      <c r="Q80" s="8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thickBot="1" x14ac:dyDescent="0.4">
      <c r="A81" s="4">
        <v>26</v>
      </c>
      <c r="B81" s="12" t="s">
        <v>22</v>
      </c>
      <c r="C81" s="7" t="s">
        <v>1</v>
      </c>
      <c r="D81" s="4" t="s">
        <v>6</v>
      </c>
      <c r="E81" s="7" t="s">
        <v>8</v>
      </c>
      <c r="F81" s="4">
        <v>27</v>
      </c>
      <c r="G81" s="4">
        <v>0</v>
      </c>
      <c r="H81" s="4">
        <v>9.6000000000000002E-2</v>
      </c>
      <c r="I81" s="8"/>
      <c r="J81" s="8"/>
      <c r="K81" s="8" t="str">
        <v/>
      </c>
      <c r="L81" s="8"/>
      <c r="M81" s="8"/>
      <c r="N81" s="8"/>
      <c r="O81" s="8" t="str">
        <v/>
      </c>
      <c r="P81" s="8"/>
      <c r="Q81" s="8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thickBot="1" x14ac:dyDescent="0.4">
      <c r="A82" s="4">
        <v>26</v>
      </c>
      <c r="B82" s="12" t="s">
        <v>22</v>
      </c>
      <c r="C82" s="7" t="s">
        <v>1</v>
      </c>
      <c r="D82" s="4" t="s">
        <v>6</v>
      </c>
      <c r="E82" s="7" t="s">
        <v>7</v>
      </c>
      <c r="F82" s="4">
        <v>27</v>
      </c>
      <c r="G82" s="4">
        <v>1</v>
      </c>
      <c r="H82" s="4">
        <v>0.3</v>
      </c>
      <c r="I82" s="8"/>
      <c r="J82" s="8"/>
      <c r="K82" s="8" t="str">
        <v/>
      </c>
      <c r="L82" s="8"/>
      <c r="M82" s="8"/>
      <c r="N82" s="8"/>
      <c r="O82" s="8" t="str">
        <v/>
      </c>
      <c r="P82" s="8"/>
      <c r="Q82" s="8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thickBot="1" x14ac:dyDescent="0.4">
      <c r="A83" s="4">
        <v>26</v>
      </c>
      <c r="B83" s="12" t="s">
        <v>22</v>
      </c>
      <c r="C83" s="7" t="s">
        <v>4</v>
      </c>
      <c r="D83" s="4" t="s">
        <v>2</v>
      </c>
      <c r="E83" s="7" t="s">
        <v>9</v>
      </c>
      <c r="F83" s="4">
        <v>21</v>
      </c>
      <c r="G83" s="4">
        <v>1.1000000000000001</v>
      </c>
      <c r="H83" s="4">
        <v>1.2</v>
      </c>
      <c r="I83" s="8"/>
      <c r="J83" s="8"/>
      <c r="K83" s="8" t="str">
        <v/>
      </c>
      <c r="L83" s="8"/>
      <c r="M83" s="8"/>
      <c r="N83" s="8"/>
      <c r="O83" s="8" t="str">
        <v/>
      </c>
      <c r="P83" s="8"/>
      <c r="Q83" s="8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thickBot="1" x14ac:dyDescent="0.4">
      <c r="A84" s="4">
        <v>26</v>
      </c>
      <c r="B84" s="12" t="s">
        <v>22</v>
      </c>
      <c r="C84" s="7" t="s">
        <v>4</v>
      </c>
      <c r="D84" s="4" t="s">
        <v>6</v>
      </c>
      <c r="E84" s="7" t="s">
        <v>8</v>
      </c>
      <c r="F84" s="4">
        <v>21</v>
      </c>
      <c r="G84" s="4">
        <v>5</v>
      </c>
      <c r="H84" s="4">
        <v>1.575</v>
      </c>
      <c r="I84" s="8"/>
      <c r="J84" s="8"/>
      <c r="K84" s="8" t="str">
        <v/>
      </c>
      <c r="L84" s="8"/>
      <c r="M84" s="8"/>
      <c r="N84" s="8"/>
      <c r="O84" s="8" t="str">
        <v/>
      </c>
      <c r="P84" s="8"/>
      <c r="Q84" s="8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thickBot="1" x14ac:dyDescent="0.4">
      <c r="A85" s="4">
        <v>26</v>
      </c>
      <c r="B85" s="12" t="s">
        <v>22</v>
      </c>
      <c r="C85" s="7" t="s">
        <v>4</v>
      </c>
      <c r="D85" s="4" t="s">
        <v>6</v>
      </c>
      <c r="E85" s="7" t="s">
        <v>7</v>
      </c>
      <c r="F85" s="4">
        <v>21</v>
      </c>
      <c r="G85" s="4">
        <v>0</v>
      </c>
      <c r="H85" s="4">
        <v>0.109</v>
      </c>
      <c r="I85" s="8"/>
      <c r="J85" s="8"/>
      <c r="K85" s="8" t="str">
        <v/>
      </c>
      <c r="L85" s="8"/>
      <c r="M85" s="8"/>
      <c r="N85" s="8"/>
      <c r="O85" s="8" t="str">
        <v/>
      </c>
      <c r="P85" s="8"/>
      <c r="Q85" s="8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thickBot="1" x14ac:dyDescent="0.4">
      <c r="A86" s="4">
        <v>30</v>
      </c>
      <c r="B86" s="12" t="s">
        <v>23</v>
      </c>
      <c r="C86" s="7" t="s">
        <v>1</v>
      </c>
      <c r="D86" s="4" t="s">
        <v>2</v>
      </c>
      <c r="E86" s="7" t="s">
        <v>9</v>
      </c>
      <c r="F86" s="4">
        <v>41</v>
      </c>
      <c r="G86" s="4">
        <v>1.4</v>
      </c>
      <c r="H86" s="4">
        <v>1.8</v>
      </c>
      <c r="I86" s="8"/>
      <c r="J86" s="8"/>
      <c r="K86" s="8" t="str">
        <v/>
      </c>
      <c r="L86" s="8"/>
      <c r="M86" s="8"/>
      <c r="N86" s="8"/>
      <c r="O86" s="8" t="str">
        <v/>
      </c>
      <c r="P86" s="8"/>
      <c r="Q86" s="8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thickBot="1" x14ac:dyDescent="0.4">
      <c r="A87" s="4">
        <v>30</v>
      </c>
      <c r="B87" s="12" t="s">
        <v>23</v>
      </c>
      <c r="C87" s="7" t="s">
        <v>1</v>
      </c>
      <c r="D87" s="4" t="s">
        <v>6</v>
      </c>
      <c r="E87" s="7" t="s">
        <v>7</v>
      </c>
      <c r="F87" s="4">
        <v>41</v>
      </c>
      <c r="G87" s="4">
        <v>1</v>
      </c>
      <c r="H87" s="4">
        <v>0.24</v>
      </c>
      <c r="I87" s="8"/>
      <c r="J87" s="8"/>
      <c r="K87" s="8" t="str">
        <v/>
      </c>
      <c r="L87" s="8"/>
      <c r="M87" s="8"/>
      <c r="N87" s="8"/>
      <c r="O87" s="8" t="str">
        <v/>
      </c>
      <c r="P87" s="8"/>
      <c r="Q87" s="8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thickBot="1" x14ac:dyDescent="0.4">
      <c r="A88" s="4">
        <v>30</v>
      </c>
      <c r="B88" s="12" t="s">
        <v>23</v>
      </c>
      <c r="C88" s="7" t="s">
        <v>4</v>
      </c>
      <c r="D88" s="4" t="s">
        <v>2</v>
      </c>
      <c r="E88" s="7" t="s">
        <v>9</v>
      </c>
      <c r="F88" s="4">
        <v>36</v>
      </c>
      <c r="G88" s="4">
        <v>1.4</v>
      </c>
      <c r="H88" s="4">
        <v>1.4</v>
      </c>
      <c r="I88" s="8"/>
      <c r="J88" s="8"/>
      <c r="K88" s="8" t="str">
        <v/>
      </c>
      <c r="L88" s="8"/>
      <c r="M88" s="8"/>
      <c r="N88" s="8"/>
      <c r="O88" s="8" t="str">
        <v/>
      </c>
      <c r="P88" s="8"/>
      <c r="Q88" s="8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thickBot="1" x14ac:dyDescent="0.4">
      <c r="A89" s="4">
        <v>30</v>
      </c>
      <c r="B89" s="12" t="s">
        <v>23</v>
      </c>
      <c r="C89" s="7" t="s">
        <v>4</v>
      </c>
      <c r="D89" s="4" t="s">
        <v>6</v>
      </c>
      <c r="E89" s="7" t="s">
        <v>7</v>
      </c>
      <c r="F89" s="4">
        <v>36</v>
      </c>
      <c r="G89" s="4">
        <v>1</v>
      </c>
      <c r="H89" s="4">
        <v>0.25700000000000001</v>
      </c>
      <c r="I89" s="8"/>
      <c r="J89" s="8"/>
      <c r="K89" s="8" t="str">
        <v/>
      </c>
      <c r="L89" s="8"/>
      <c r="M89" s="8"/>
      <c r="N89" s="8"/>
      <c r="O89" s="8" t="str">
        <v/>
      </c>
      <c r="P89" s="8"/>
      <c r="Q89" s="8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thickBot="1" x14ac:dyDescent="0.4">
      <c r="A90" s="4">
        <v>32</v>
      </c>
      <c r="B90" s="12" t="s">
        <v>57</v>
      </c>
      <c r="C90" s="7" t="s">
        <v>1</v>
      </c>
      <c r="D90" s="4" t="s">
        <v>2</v>
      </c>
      <c r="E90" s="7" t="s">
        <v>26</v>
      </c>
      <c r="F90" s="4">
        <v>31</v>
      </c>
      <c r="G90" s="4">
        <v>88.75</v>
      </c>
      <c r="H90" s="4">
        <v>9.27</v>
      </c>
      <c r="I90" s="8"/>
      <c r="J90" s="8"/>
      <c r="K90" s="8" t="str">
        <v/>
      </c>
      <c r="L90" s="8"/>
      <c r="M90" s="8"/>
      <c r="N90" s="8"/>
      <c r="O90" s="8" t="str">
        <v/>
      </c>
      <c r="P90" s="8"/>
      <c r="Q90" s="8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thickBot="1" x14ac:dyDescent="0.4">
      <c r="A91" s="4">
        <v>32</v>
      </c>
      <c r="B91" s="12" t="s">
        <v>57</v>
      </c>
      <c r="C91" s="7" t="s">
        <v>1</v>
      </c>
      <c r="D91" s="4" t="s">
        <v>2</v>
      </c>
      <c r="E91" s="7" t="s">
        <v>11</v>
      </c>
      <c r="F91" s="4">
        <v>31</v>
      </c>
      <c r="G91" s="4">
        <v>89.87</v>
      </c>
      <c r="H91" s="4">
        <v>9.17</v>
      </c>
      <c r="I91" s="8"/>
      <c r="J91" s="8"/>
      <c r="K91" s="8" t="str">
        <v/>
      </c>
      <c r="L91" s="8"/>
      <c r="M91" s="8"/>
      <c r="N91" s="8"/>
      <c r="O91" s="8" t="str">
        <v/>
      </c>
      <c r="P91" s="8"/>
      <c r="Q91" s="8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thickBot="1" x14ac:dyDescent="0.4">
      <c r="A92" s="4">
        <v>32</v>
      </c>
      <c r="B92" s="12" t="s">
        <v>57</v>
      </c>
      <c r="C92" s="7" t="s">
        <v>1</v>
      </c>
      <c r="D92" s="4" t="s">
        <v>6</v>
      </c>
      <c r="E92" s="7" t="s">
        <v>8</v>
      </c>
      <c r="F92" s="4">
        <v>31</v>
      </c>
      <c r="G92" s="4">
        <v>2</v>
      </c>
      <c r="H92" s="4">
        <v>0.48</v>
      </c>
      <c r="I92" s="8"/>
      <c r="J92" s="8"/>
      <c r="K92" s="8" t="str">
        <v/>
      </c>
      <c r="L92" s="8"/>
      <c r="M92" s="8"/>
      <c r="N92" s="8"/>
      <c r="O92" s="8" t="str">
        <v/>
      </c>
      <c r="P92" s="8"/>
      <c r="Q92" s="8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thickBot="1" x14ac:dyDescent="0.4">
      <c r="A93" s="4">
        <v>32</v>
      </c>
      <c r="B93" s="12" t="s">
        <v>57</v>
      </c>
      <c r="C93" s="7" t="s">
        <v>1</v>
      </c>
      <c r="D93" s="4" t="s">
        <v>6</v>
      </c>
      <c r="E93" s="7" t="s">
        <v>7</v>
      </c>
      <c r="F93" s="4">
        <v>31</v>
      </c>
      <c r="G93" s="4">
        <v>2</v>
      </c>
      <c r="H93" s="4">
        <v>0.48</v>
      </c>
      <c r="I93" s="8"/>
      <c r="J93" s="8"/>
      <c r="K93" s="8" t="str">
        <v/>
      </c>
      <c r="L93" s="8"/>
      <c r="M93" s="8"/>
      <c r="N93" s="8"/>
      <c r="O93" s="8" t="str">
        <v/>
      </c>
      <c r="P93" s="8"/>
      <c r="Q93" s="8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thickBot="1" x14ac:dyDescent="0.4">
      <c r="A94" s="4">
        <v>32</v>
      </c>
      <c r="B94" s="12" t="s">
        <v>57</v>
      </c>
      <c r="C94" s="7" t="s">
        <v>4</v>
      </c>
      <c r="D94" s="4" t="s">
        <v>2</v>
      </c>
      <c r="E94" s="7" t="s">
        <v>26</v>
      </c>
      <c r="F94" s="4">
        <v>31</v>
      </c>
      <c r="G94" s="4">
        <v>91</v>
      </c>
      <c r="H94" s="4">
        <v>9.07</v>
      </c>
      <c r="I94" s="8"/>
      <c r="J94" s="8"/>
      <c r="K94" s="8" t="str">
        <v/>
      </c>
      <c r="L94" s="8"/>
      <c r="M94" s="8"/>
      <c r="N94" s="8"/>
      <c r="O94" s="8" t="str">
        <v/>
      </c>
      <c r="P94" s="8"/>
      <c r="Q94" s="8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thickBot="1" x14ac:dyDescent="0.4">
      <c r="A95" s="4">
        <v>32</v>
      </c>
      <c r="B95" s="12" t="s">
        <v>57</v>
      </c>
      <c r="C95" s="7" t="s">
        <v>4</v>
      </c>
      <c r="D95" s="4" t="s">
        <v>2</v>
      </c>
      <c r="E95" s="7" t="s">
        <v>11</v>
      </c>
      <c r="F95" s="4">
        <v>31</v>
      </c>
      <c r="G95" s="4">
        <v>91.26</v>
      </c>
      <c r="H95" s="4">
        <v>9.36</v>
      </c>
      <c r="I95" s="8"/>
      <c r="J95" s="8"/>
      <c r="K95" s="8" t="str">
        <v/>
      </c>
      <c r="L95" s="8"/>
      <c r="M95" s="8"/>
      <c r="N95" s="8"/>
      <c r="O95" s="8" t="str">
        <v/>
      </c>
      <c r="P95" s="8"/>
      <c r="Q95" s="8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thickBot="1" x14ac:dyDescent="0.4">
      <c r="A96" s="4">
        <v>32</v>
      </c>
      <c r="B96" s="12" t="s">
        <v>57</v>
      </c>
      <c r="C96" s="7" t="s">
        <v>4</v>
      </c>
      <c r="D96" s="4" t="s">
        <v>6</v>
      </c>
      <c r="E96" s="7" t="s">
        <v>8</v>
      </c>
      <c r="F96" s="4">
        <v>31</v>
      </c>
      <c r="G96" s="4">
        <v>3</v>
      </c>
      <c r="H96" s="4">
        <v>0.69599999999999995</v>
      </c>
      <c r="I96" s="8"/>
      <c r="J96" s="8"/>
      <c r="K96" s="8" t="str">
        <v/>
      </c>
      <c r="L96" s="8"/>
      <c r="M96" s="8"/>
      <c r="N96" s="8"/>
      <c r="O96" s="8" t="str">
        <v/>
      </c>
      <c r="P96" s="8"/>
      <c r="Q96" s="8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thickBot="1" x14ac:dyDescent="0.4">
      <c r="A97" s="4">
        <v>32</v>
      </c>
      <c r="B97" s="12" t="s">
        <v>57</v>
      </c>
      <c r="C97" s="7" t="s">
        <v>4</v>
      </c>
      <c r="D97" s="4" t="s">
        <v>6</v>
      </c>
      <c r="E97" s="7" t="s">
        <v>7</v>
      </c>
      <c r="F97" s="4">
        <v>31</v>
      </c>
      <c r="G97" s="4">
        <v>3</v>
      </c>
      <c r="H97" s="4">
        <v>0.69599999999999995</v>
      </c>
      <c r="I97" s="8"/>
      <c r="J97" s="8"/>
      <c r="K97" s="8" t="str">
        <v/>
      </c>
      <c r="L97" s="8"/>
      <c r="M97" s="8"/>
      <c r="N97" s="8"/>
      <c r="O97" s="8" t="str">
        <v/>
      </c>
      <c r="P97" s="8"/>
      <c r="Q97" s="8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thickBot="1" x14ac:dyDescent="0.4">
      <c r="A98" s="4">
        <v>33</v>
      </c>
      <c r="B98" s="12" t="s">
        <v>58</v>
      </c>
      <c r="C98" s="7" t="s">
        <v>1</v>
      </c>
      <c r="D98" s="4" t="s">
        <v>2</v>
      </c>
      <c r="E98" s="7" t="s">
        <v>3</v>
      </c>
      <c r="F98" s="4">
        <v>37</v>
      </c>
      <c r="G98" s="4">
        <v>5.89</v>
      </c>
      <c r="H98" s="4">
        <v>2.117</v>
      </c>
      <c r="I98" s="4">
        <v>1</v>
      </c>
      <c r="J98" s="4">
        <v>10</v>
      </c>
      <c r="K98" s="4">
        <v>9</v>
      </c>
      <c r="L98" s="4">
        <v>6</v>
      </c>
      <c r="M98" s="8"/>
      <c r="N98" s="8"/>
      <c r="O98" s="8" t="str">
        <v/>
      </c>
      <c r="P98" s="8"/>
      <c r="Q98" s="8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thickBot="1" x14ac:dyDescent="0.4">
      <c r="A99" s="17">
        <v>33</v>
      </c>
      <c r="B99" s="12" t="s">
        <v>58</v>
      </c>
      <c r="C99" s="7" t="s">
        <v>1</v>
      </c>
      <c r="D99" s="4" t="s">
        <v>2</v>
      </c>
      <c r="E99" s="7" t="s">
        <v>11</v>
      </c>
      <c r="F99" s="4">
        <v>37</v>
      </c>
      <c r="G99" s="4">
        <v>89.11</v>
      </c>
      <c r="H99" s="4">
        <v>15.526999999999999</v>
      </c>
      <c r="I99" s="4">
        <v>34</v>
      </c>
      <c r="J99" s="4">
        <v>100</v>
      </c>
      <c r="K99" s="4">
        <v>66</v>
      </c>
      <c r="L99" s="4">
        <v>95</v>
      </c>
      <c r="M99" s="8"/>
      <c r="N99" s="8"/>
      <c r="O99" s="8" t="str">
        <v/>
      </c>
      <c r="P99" s="8"/>
      <c r="Q99" s="8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thickBot="1" x14ac:dyDescent="0.4">
      <c r="A100" s="4">
        <v>33</v>
      </c>
      <c r="B100" s="12" t="s">
        <v>58</v>
      </c>
      <c r="C100" s="7" t="s">
        <v>1</v>
      </c>
      <c r="D100" s="4" t="s">
        <v>2</v>
      </c>
      <c r="E100" s="7" t="s">
        <v>9</v>
      </c>
      <c r="F100" s="4">
        <v>37</v>
      </c>
      <c r="G100" s="4">
        <v>1.5</v>
      </c>
      <c r="H100" s="4">
        <v>3</v>
      </c>
      <c r="I100" s="8"/>
      <c r="J100" s="8"/>
      <c r="K100" s="8" t="str">
        <v/>
      </c>
      <c r="L100" s="8"/>
      <c r="M100" s="8"/>
      <c r="N100" s="8"/>
      <c r="O100" s="8" t="str">
        <v/>
      </c>
      <c r="P100" s="8"/>
      <c r="Q100" s="8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thickBot="1" x14ac:dyDescent="0.4">
      <c r="A101" s="4">
        <v>33</v>
      </c>
      <c r="B101" s="12" t="s">
        <v>58</v>
      </c>
      <c r="C101" s="7" t="s">
        <v>1</v>
      </c>
      <c r="D101" s="4" t="s">
        <v>6</v>
      </c>
      <c r="E101" s="7" t="s">
        <v>8</v>
      </c>
      <c r="F101" s="4">
        <v>37</v>
      </c>
      <c r="G101" s="4">
        <v>0</v>
      </c>
      <c r="H101" s="4">
        <v>8.2000000000000003E-2</v>
      </c>
      <c r="I101" s="8"/>
      <c r="J101" s="8"/>
      <c r="K101" s="8" t="str">
        <v/>
      </c>
      <c r="L101" s="8"/>
      <c r="M101" s="8"/>
      <c r="N101" s="8"/>
      <c r="O101" s="8" t="str">
        <v/>
      </c>
      <c r="P101" s="8"/>
      <c r="Q101" s="8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thickBot="1" x14ac:dyDescent="0.4">
      <c r="A102" s="4">
        <v>33</v>
      </c>
      <c r="B102" s="12" t="s">
        <v>58</v>
      </c>
      <c r="C102" s="7" t="s">
        <v>1</v>
      </c>
      <c r="D102" s="4" t="s">
        <v>6</v>
      </c>
      <c r="E102" s="7" t="s">
        <v>7</v>
      </c>
      <c r="F102" s="4">
        <v>37</v>
      </c>
      <c r="G102" s="4">
        <v>0</v>
      </c>
      <c r="H102" s="4">
        <v>8.2000000000000003E-2</v>
      </c>
      <c r="I102" s="8"/>
      <c r="J102" s="8"/>
      <c r="K102" s="8" t="str">
        <v/>
      </c>
      <c r="L102" s="8"/>
      <c r="M102" s="8"/>
      <c r="N102" s="8"/>
      <c r="O102" s="8" t="str">
        <v/>
      </c>
      <c r="P102" s="8"/>
      <c r="Q102" s="8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thickBot="1" x14ac:dyDescent="0.4">
      <c r="A103" s="17">
        <v>33</v>
      </c>
      <c r="B103" s="12" t="s">
        <v>58</v>
      </c>
      <c r="C103" s="7" t="s">
        <v>4</v>
      </c>
      <c r="D103" s="4" t="s">
        <v>2</v>
      </c>
      <c r="E103" s="7" t="s">
        <v>11</v>
      </c>
      <c r="F103" s="4">
        <v>37</v>
      </c>
      <c r="G103" s="4">
        <v>95</v>
      </c>
      <c r="H103" s="4">
        <v>15.526999999999999</v>
      </c>
      <c r="I103" s="4">
        <v>34</v>
      </c>
      <c r="J103" s="4">
        <v>100</v>
      </c>
      <c r="K103" s="4">
        <v>66</v>
      </c>
      <c r="L103" s="4">
        <v>95</v>
      </c>
      <c r="M103" s="8"/>
      <c r="N103" s="8"/>
      <c r="O103" s="8" t="str">
        <v/>
      </c>
      <c r="P103" s="8"/>
      <c r="Q103" s="8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thickBot="1" x14ac:dyDescent="0.4">
      <c r="A104" s="4">
        <v>33</v>
      </c>
      <c r="B104" s="12" t="s">
        <v>58</v>
      </c>
      <c r="C104" s="7" t="s">
        <v>4</v>
      </c>
      <c r="D104" s="4" t="s">
        <v>2</v>
      </c>
      <c r="E104" s="7" t="s">
        <v>3</v>
      </c>
      <c r="F104" s="4">
        <v>37</v>
      </c>
      <c r="G104" s="4">
        <v>6</v>
      </c>
      <c r="H104" s="4">
        <v>1.4119999999999999</v>
      </c>
      <c r="I104" s="4">
        <v>3</v>
      </c>
      <c r="J104" s="4">
        <v>9</v>
      </c>
      <c r="K104" s="4">
        <v>6</v>
      </c>
      <c r="L104" s="4">
        <v>6</v>
      </c>
      <c r="M104" s="8"/>
      <c r="N104" s="8"/>
      <c r="O104" s="8" t="str">
        <v/>
      </c>
      <c r="P104" s="8"/>
      <c r="Q104" s="8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thickBot="1" x14ac:dyDescent="0.4">
      <c r="A105" s="4">
        <v>33</v>
      </c>
      <c r="B105" s="12" t="s">
        <v>58</v>
      </c>
      <c r="C105" s="7" t="s">
        <v>4</v>
      </c>
      <c r="D105" s="4" t="s">
        <v>2</v>
      </c>
      <c r="E105" s="7" t="s">
        <v>9</v>
      </c>
      <c r="F105" s="4">
        <v>37</v>
      </c>
      <c r="G105" s="4">
        <v>1.2</v>
      </c>
      <c r="H105" s="4">
        <v>3.9</v>
      </c>
      <c r="I105" s="8"/>
      <c r="J105" s="8"/>
      <c r="K105" s="8" t="str">
        <v/>
      </c>
      <c r="L105" s="8"/>
      <c r="M105" s="8"/>
      <c r="N105" s="8"/>
      <c r="O105" s="8" t="str">
        <v/>
      </c>
      <c r="P105" s="8"/>
      <c r="Q105" s="8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thickBot="1" x14ac:dyDescent="0.4">
      <c r="A106" s="4">
        <v>33</v>
      </c>
      <c r="B106" s="12" t="s">
        <v>58</v>
      </c>
      <c r="C106" s="7" t="s">
        <v>4</v>
      </c>
      <c r="D106" s="4" t="s">
        <v>6</v>
      </c>
      <c r="E106" s="7" t="s">
        <v>8</v>
      </c>
      <c r="F106" s="4">
        <v>37</v>
      </c>
      <c r="G106" s="4">
        <v>1</v>
      </c>
      <c r="H106" s="4">
        <v>0.253</v>
      </c>
      <c r="I106" s="8"/>
      <c r="J106" s="8"/>
      <c r="K106" s="8" t="str">
        <v/>
      </c>
      <c r="L106" s="8"/>
      <c r="M106" s="8"/>
      <c r="N106" s="8"/>
      <c r="O106" s="8" t="str">
        <v/>
      </c>
      <c r="P106" s="8"/>
      <c r="Q106" s="8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thickBot="1" x14ac:dyDescent="0.4">
      <c r="A107" s="4">
        <v>33</v>
      </c>
      <c r="B107" s="12" t="s">
        <v>58</v>
      </c>
      <c r="C107" s="7" t="s">
        <v>4</v>
      </c>
      <c r="D107" s="4" t="s">
        <v>6</v>
      </c>
      <c r="E107" s="7" t="s">
        <v>7</v>
      </c>
      <c r="F107" s="4">
        <v>37</v>
      </c>
      <c r="G107" s="4">
        <v>1</v>
      </c>
      <c r="H107" s="4">
        <v>0.253</v>
      </c>
      <c r="I107" s="8"/>
      <c r="J107" s="8"/>
      <c r="K107" s="8" t="str">
        <v/>
      </c>
      <c r="L107" s="8"/>
      <c r="M107" s="8"/>
      <c r="N107" s="8"/>
      <c r="O107" s="8" t="str">
        <v/>
      </c>
      <c r="P107" s="8"/>
      <c r="Q107" s="8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thickBot="1" x14ac:dyDescent="0.4">
      <c r="A108" s="4">
        <v>34</v>
      </c>
      <c r="B108" s="12" t="s">
        <v>59</v>
      </c>
      <c r="C108" s="7" t="s">
        <v>1</v>
      </c>
      <c r="D108" s="4" t="s">
        <v>2</v>
      </c>
      <c r="E108" s="7" t="s">
        <v>3</v>
      </c>
      <c r="F108" s="4">
        <v>30</v>
      </c>
      <c r="G108" s="4">
        <v>6.64</v>
      </c>
      <c r="H108" s="4">
        <v>2.206</v>
      </c>
      <c r="I108" s="4">
        <v>1</v>
      </c>
      <c r="J108" s="4">
        <v>10</v>
      </c>
      <c r="K108" s="4">
        <v>9</v>
      </c>
      <c r="L108" s="4">
        <v>7</v>
      </c>
      <c r="M108" s="8"/>
      <c r="N108" s="8"/>
      <c r="O108" s="8" t="str">
        <v/>
      </c>
      <c r="P108" s="8"/>
      <c r="Q108" s="8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thickBot="1" x14ac:dyDescent="0.4">
      <c r="A109" s="4">
        <v>34</v>
      </c>
      <c r="B109" s="12" t="s">
        <v>59</v>
      </c>
      <c r="C109" s="7" t="s">
        <v>1</v>
      </c>
      <c r="D109" s="4" t="s">
        <v>6</v>
      </c>
      <c r="E109" s="7" t="s">
        <v>8</v>
      </c>
      <c r="F109" s="4">
        <v>30</v>
      </c>
      <c r="G109" s="4">
        <v>3</v>
      </c>
      <c r="H109" s="4">
        <v>0.71</v>
      </c>
      <c r="I109" s="8"/>
      <c r="J109" s="8"/>
      <c r="K109" s="8" t="str">
        <v/>
      </c>
      <c r="L109" s="8"/>
      <c r="M109" s="8"/>
      <c r="N109" s="8"/>
      <c r="O109" s="8" t="str">
        <v/>
      </c>
      <c r="P109" s="8"/>
      <c r="Q109" s="8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thickBot="1" x14ac:dyDescent="0.4">
      <c r="A110" s="4">
        <v>34</v>
      </c>
      <c r="B110" s="12" t="s">
        <v>59</v>
      </c>
      <c r="C110" s="7" t="s">
        <v>4</v>
      </c>
      <c r="D110" s="4" t="s">
        <v>2</v>
      </c>
      <c r="E110" s="7" t="s">
        <v>3</v>
      </c>
      <c r="F110" s="4">
        <v>29</v>
      </c>
      <c r="G110" s="4">
        <v>5</v>
      </c>
      <c r="H110" s="4">
        <v>1.4810000000000001</v>
      </c>
      <c r="I110" s="4">
        <v>2</v>
      </c>
      <c r="J110" s="4">
        <v>8</v>
      </c>
      <c r="K110" s="4">
        <v>6</v>
      </c>
      <c r="L110" s="4">
        <v>5</v>
      </c>
      <c r="M110" s="8"/>
      <c r="N110" s="8"/>
      <c r="O110" s="8" t="str">
        <v/>
      </c>
      <c r="P110" s="8"/>
      <c r="Q110" s="8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thickBot="1" x14ac:dyDescent="0.4">
      <c r="A111" s="4">
        <v>34</v>
      </c>
      <c r="B111" s="12" t="s">
        <v>59</v>
      </c>
      <c r="C111" s="7" t="s">
        <v>4</v>
      </c>
      <c r="D111" s="4" t="s">
        <v>6</v>
      </c>
      <c r="E111" s="7" t="s">
        <v>8</v>
      </c>
      <c r="F111" s="4">
        <v>29</v>
      </c>
      <c r="G111" s="4">
        <v>8</v>
      </c>
      <c r="H111" s="4">
        <v>2.1800000000000002</v>
      </c>
      <c r="I111" s="8"/>
      <c r="J111" s="8"/>
      <c r="K111" s="8" t="str">
        <v/>
      </c>
      <c r="L111" s="8"/>
      <c r="M111" s="8"/>
      <c r="N111" s="8"/>
      <c r="O111" s="8" t="str">
        <v/>
      </c>
      <c r="P111" s="8"/>
      <c r="Q111" s="8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thickBot="1" x14ac:dyDescent="0.4">
      <c r="A112" s="4">
        <v>35</v>
      </c>
      <c r="B112" s="12" t="s">
        <v>24</v>
      </c>
      <c r="C112" s="7" t="s">
        <v>1</v>
      </c>
      <c r="D112" s="4" t="s">
        <v>2</v>
      </c>
      <c r="E112" s="7" t="s">
        <v>9</v>
      </c>
      <c r="F112" s="4">
        <v>28</v>
      </c>
      <c r="G112" s="4">
        <v>3</v>
      </c>
      <c r="H112" s="4">
        <v>3.2</v>
      </c>
      <c r="I112" s="8"/>
      <c r="J112" s="8"/>
      <c r="K112" s="8" t="str">
        <v/>
      </c>
      <c r="L112" s="8"/>
      <c r="M112" s="8"/>
      <c r="N112" s="8"/>
      <c r="O112" s="8" t="str">
        <v/>
      </c>
      <c r="P112" s="8"/>
      <c r="Q112" s="8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thickBot="1" x14ac:dyDescent="0.4">
      <c r="A113" s="4">
        <v>35</v>
      </c>
      <c r="B113" s="12" t="s">
        <v>24</v>
      </c>
      <c r="C113" s="7" t="s">
        <v>1</v>
      </c>
      <c r="D113" s="4" t="s">
        <v>2</v>
      </c>
      <c r="E113" s="7" t="s">
        <v>11</v>
      </c>
      <c r="F113" s="4">
        <v>28</v>
      </c>
      <c r="G113" s="4">
        <v>84.2</v>
      </c>
      <c r="H113" s="4">
        <v>15.4</v>
      </c>
      <c r="I113" s="8"/>
      <c r="J113" s="8"/>
      <c r="K113" s="8" t="str">
        <v/>
      </c>
      <c r="L113" s="8"/>
      <c r="M113" s="8"/>
      <c r="N113" s="8"/>
      <c r="O113" s="8" t="str">
        <v/>
      </c>
      <c r="P113" s="8"/>
      <c r="Q113" s="8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thickBot="1" x14ac:dyDescent="0.4">
      <c r="A114" s="4">
        <v>35</v>
      </c>
      <c r="B114" s="12" t="s">
        <v>24</v>
      </c>
      <c r="C114" s="7" t="s">
        <v>4</v>
      </c>
      <c r="D114" s="4" t="s">
        <v>2</v>
      </c>
      <c r="E114" s="7" t="s">
        <v>9</v>
      </c>
      <c r="F114" s="4">
        <v>29</v>
      </c>
      <c r="G114" s="4">
        <v>2</v>
      </c>
      <c r="H114" s="4">
        <v>3.5</v>
      </c>
      <c r="I114" s="8"/>
      <c r="J114" s="8"/>
      <c r="K114" s="8" t="str">
        <v/>
      </c>
      <c r="L114" s="8"/>
      <c r="M114" s="8"/>
      <c r="N114" s="8"/>
      <c r="O114" s="8" t="str">
        <v/>
      </c>
      <c r="P114" s="8"/>
      <c r="Q114" s="8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thickBot="1" x14ac:dyDescent="0.4">
      <c r="A115" s="4">
        <v>35</v>
      </c>
      <c r="B115" s="12" t="s">
        <v>24</v>
      </c>
      <c r="C115" s="7" t="s">
        <v>4</v>
      </c>
      <c r="D115" s="4" t="s">
        <v>2</v>
      </c>
      <c r="E115" s="7" t="s">
        <v>11</v>
      </c>
      <c r="F115" s="4">
        <v>29</v>
      </c>
      <c r="G115" s="4">
        <v>86.1</v>
      </c>
      <c r="H115" s="4">
        <v>15.1</v>
      </c>
      <c r="I115" s="8"/>
      <c r="J115" s="8"/>
      <c r="K115" s="8" t="str">
        <v/>
      </c>
      <c r="L115" s="8"/>
      <c r="M115" s="8"/>
      <c r="N115" s="8"/>
      <c r="O115" s="8" t="str">
        <v/>
      </c>
      <c r="P115" s="8"/>
      <c r="Q115" s="8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thickBot="1" x14ac:dyDescent="0.4">
      <c r="A116" s="4">
        <v>36</v>
      </c>
      <c r="B116" s="12" t="s">
        <v>25</v>
      </c>
      <c r="C116" s="7" t="s">
        <v>4</v>
      </c>
      <c r="D116" s="4" t="s">
        <v>2</v>
      </c>
      <c r="E116" s="7" t="s">
        <v>26</v>
      </c>
      <c r="F116" s="10">
        <v>26</v>
      </c>
      <c r="G116" s="4">
        <v>83.7</v>
      </c>
      <c r="H116" s="4">
        <v>12.7</v>
      </c>
      <c r="I116" s="8"/>
      <c r="J116" s="8"/>
      <c r="K116" s="8" t="str">
        <v/>
      </c>
      <c r="L116" s="8"/>
      <c r="M116" s="8"/>
      <c r="N116" s="8"/>
      <c r="O116" s="8" t="str">
        <v/>
      </c>
      <c r="P116" s="8"/>
      <c r="Q116" s="8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thickBot="1" x14ac:dyDescent="0.4">
      <c r="A117" s="4">
        <v>36</v>
      </c>
      <c r="B117" s="12" t="s">
        <v>25</v>
      </c>
      <c r="C117" s="7" t="s">
        <v>4</v>
      </c>
      <c r="D117" s="4" t="s">
        <v>2</v>
      </c>
      <c r="E117" s="7" t="s">
        <v>11</v>
      </c>
      <c r="F117" s="4">
        <v>26</v>
      </c>
      <c r="G117" s="4">
        <v>83.5</v>
      </c>
      <c r="H117" s="4">
        <v>17.399999999999999</v>
      </c>
      <c r="I117" s="8"/>
      <c r="J117" s="8"/>
      <c r="K117" s="8" t="str">
        <v/>
      </c>
      <c r="L117" s="8"/>
      <c r="M117" s="8"/>
      <c r="N117" s="8"/>
      <c r="O117" s="8" t="str">
        <v/>
      </c>
      <c r="P117" s="8"/>
      <c r="Q117" s="8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thickBot="1" x14ac:dyDescent="0.4">
      <c r="A118" s="4">
        <v>36</v>
      </c>
      <c r="B118" s="12" t="s">
        <v>25</v>
      </c>
      <c r="C118" s="7" t="s">
        <v>4</v>
      </c>
      <c r="D118" s="4" t="s">
        <v>2</v>
      </c>
      <c r="E118" s="7" t="s">
        <v>9</v>
      </c>
      <c r="F118" s="4">
        <v>26</v>
      </c>
      <c r="G118" s="4">
        <v>0.2</v>
      </c>
      <c r="H118" s="4">
        <v>2.2000000000000002</v>
      </c>
      <c r="I118" s="8"/>
      <c r="J118" s="8"/>
      <c r="K118" s="8" t="str">
        <v/>
      </c>
      <c r="L118" s="8"/>
      <c r="M118" s="8"/>
      <c r="N118" s="8"/>
      <c r="O118" s="8" t="str">
        <v/>
      </c>
      <c r="P118" s="8"/>
      <c r="Q118" s="8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thickBot="1" x14ac:dyDescent="0.4">
      <c r="A119" s="4">
        <v>36</v>
      </c>
      <c r="B119" s="12" t="s">
        <v>25</v>
      </c>
      <c r="C119" s="7" t="s">
        <v>4</v>
      </c>
      <c r="D119" s="4" t="s">
        <v>6</v>
      </c>
      <c r="E119" s="7" t="s">
        <v>8</v>
      </c>
      <c r="F119" s="4">
        <v>26</v>
      </c>
      <c r="G119" s="4">
        <v>0</v>
      </c>
      <c r="H119" s="4">
        <v>9.8000000000000004E-2</v>
      </c>
      <c r="I119" s="8"/>
      <c r="J119" s="8"/>
      <c r="K119" s="8" t="str">
        <v/>
      </c>
      <c r="L119" s="8"/>
      <c r="M119" s="8"/>
      <c r="N119" s="8"/>
      <c r="O119" s="8" t="str">
        <v/>
      </c>
      <c r="P119" s="8"/>
      <c r="Q119" s="8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thickBot="1" x14ac:dyDescent="0.4">
      <c r="A120" s="4">
        <v>36</v>
      </c>
      <c r="B120" s="12" t="s">
        <v>25</v>
      </c>
      <c r="C120" s="7" t="s">
        <v>31</v>
      </c>
      <c r="D120" s="4" t="s">
        <v>2</v>
      </c>
      <c r="E120" s="7" t="s">
        <v>26</v>
      </c>
      <c r="F120" s="4">
        <v>23</v>
      </c>
      <c r="G120" s="4">
        <v>89.3</v>
      </c>
      <c r="H120" s="4">
        <v>12.2</v>
      </c>
      <c r="I120" s="8"/>
      <c r="J120" s="8"/>
      <c r="K120" s="8" t="str">
        <v/>
      </c>
      <c r="L120" s="8"/>
      <c r="M120" s="8"/>
      <c r="N120" s="8"/>
      <c r="O120" s="8" t="str">
        <v/>
      </c>
      <c r="P120" s="8"/>
      <c r="Q120" s="8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thickBot="1" x14ac:dyDescent="0.4">
      <c r="A121" s="4">
        <v>36</v>
      </c>
      <c r="B121" s="12" t="s">
        <v>25</v>
      </c>
      <c r="C121" s="7" t="s">
        <v>31</v>
      </c>
      <c r="D121" s="4" t="s">
        <v>2</v>
      </c>
      <c r="E121" s="7" t="s">
        <v>11</v>
      </c>
      <c r="F121" s="4">
        <v>23</v>
      </c>
      <c r="G121" s="4">
        <v>90.4</v>
      </c>
      <c r="H121" s="4">
        <v>11.9</v>
      </c>
      <c r="I121" s="8"/>
      <c r="J121" s="8"/>
      <c r="K121" s="8" t="str">
        <v/>
      </c>
      <c r="L121" s="8"/>
      <c r="M121" s="8"/>
      <c r="N121" s="8"/>
      <c r="O121" s="8" t="str">
        <v/>
      </c>
      <c r="P121" s="8"/>
      <c r="Q121" s="8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thickBot="1" x14ac:dyDescent="0.4">
      <c r="A122" s="4">
        <v>36</v>
      </c>
      <c r="B122" s="12" t="s">
        <v>25</v>
      </c>
      <c r="C122" s="7" t="s">
        <v>31</v>
      </c>
      <c r="D122" s="4" t="s">
        <v>2</v>
      </c>
      <c r="E122" s="7" t="s">
        <v>9</v>
      </c>
      <c r="F122" s="4">
        <v>23</v>
      </c>
      <c r="G122" s="4">
        <v>0.7</v>
      </c>
      <c r="H122" s="4">
        <v>1.1000000000000001</v>
      </c>
      <c r="I122" s="8"/>
      <c r="J122" s="8"/>
      <c r="K122" s="8" t="str">
        <v/>
      </c>
      <c r="L122" s="8"/>
      <c r="M122" s="8"/>
      <c r="N122" s="8"/>
      <c r="O122" s="8" t="str">
        <v/>
      </c>
      <c r="P122" s="8"/>
      <c r="Q122" s="8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thickBot="1" x14ac:dyDescent="0.4">
      <c r="A123" s="4">
        <v>36</v>
      </c>
      <c r="B123" s="12" t="s">
        <v>25</v>
      </c>
      <c r="C123" s="7" t="s">
        <v>31</v>
      </c>
      <c r="D123" s="4" t="s">
        <v>6</v>
      </c>
      <c r="E123" s="7" t="s">
        <v>8</v>
      </c>
      <c r="F123" s="4">
        <v>23</v>
      </c>
      <c r="G123" s="4">
        <v>0</v>
      </c>
      <c r="H123" s="4">
        <v>0.104</v>
      </c>
      <c r="I123" s="8"/>
      <c r="J123" s="8"/>
      <c r="K123" s="8" t="str">
        <v/>
      </c>
      <c r="L123" s="8"/>
      <c r="M123" s="8"/>
      <c r="N123" s="8"/>
      <c r="O123" s="8" t="str">
        <v/>
      </c>
      <c r="P123" s="8"/>
      <c r="Q123" s="8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thickBot="1" x14ac:dyDescent="0.4">
      <c r="A124" s="4">
        <v>37</v>
      </c>
      <c r="B124" s="12" t="s">
        <v>60</v>
      </c>
      <c r="C124" s="7" t="s">
        <v>1</v>
      </c>
      <c r="D124" s="4" t="s">
        <v>6</v>
      </c>
      <c r="E124" s="7" t="s">
        <v>7</v>
      </c>
      <c r="F124" s="4">
        <v>40</v>
      </c>
      <c r="G124" s="4">
        <v>5</v>
      </c>
      <c r="H124" s="4">
        <v>0.99399999999999999</v>
      </c>
      <c r="I124" s="8"/>
      <c r="J124" s="8"/>
      <c r="K124" s="8" t="str">
        <v/>
      </c>
      <c r="L124" s="8"/>
      <c r="M124" s="8"/>
      <c r="N124" s="8"/>
      <c r="O124" s="8" t="str">
        <v/>
      </c>
      <c r="P124" s="8"/>
      <c r="Q124" s="8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thickBot="1" x14ac:dyDescent="0.4">
      <c r="A125" s="4">
        <v>37</v>
      </c>
      <c r="B125" s="12" t="s">
        <v>60</v>
      </c>
      <c r="C125" s="7" t="s">
        <v>1</v>
      </c>
      <c r="D125" s="4" t="s">
        <v>2</v>
      </c>
      <c r="E125" s="7" t="s">
        <v>11</v>
      </c>
      <c r="F125" s="4">
        <v>40</v>
      </c>
      <c r="G125" s="4">
        <v>91.6</v>
      </c>
      <c r="H125" s="4">
        <v>3.9420000000000002</v>
      </c>
      <c r="I125" s="4">
        <v>79</v>
      </c>
      <c r="J125" s="4">
        <v>96</v>
      </c>
      <c r="K125" s="4">
        <v>17</v>
      </c>
      <c r="L125" s="8"/>
      <c r="M125" s="8"/>
      <c r="N125" s="8"/>
      <c r="O125" s="8" t="str">
        <v/>
      </c>
      <c r="P125" s="8"/>
      <c r="Q125" s="8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thickBot="1" x14ac:dyDescent="0.4">
      <c r="A126" s="4">
        <v>37</v>
      </c>
      <c r="B126" s="12" t="s">
        <v>60</v>
      </c>
      <c r="C126" s="7" t="s">
        <v>1</v>
      </c>
      <c r="D126" s="4" t="s">
        <v>6</v>
      </c>
      <c r="E126" s="7" t="s">
        <v>8</v>
      </c>
      <c r="F126" s="4">
        <v>40</v>
      </c>
      <c r="G126" s="4">
        <v>5</v>
      </c>
      <c r="H126" s="4">
        <v>0.99399999999999999</v>
      </c>
      <c r="I126" s="8"/>
      <c r="J126" s="8"/>
      <c r="K126" s="8" t="str">
        <v/>
      </c>
      <c r="L126" s="8"/>
      <c r="M126" s="8"/>
      <c r="N126" s="8"/>
      <c r="O126" s="8" t="str">
        <v/>
      </c>
      <c r="P126" s="8"/>
      <c r="Q126" s="8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thickBot="1" x14ac:dyDescent="0.4">
      <c r="A127" s="4">
        <v>37</v>
      </c>
      <c r="B127" s="12" t="s">
        <v>60</v>
      </c>
      <c r="C127" s="7" t="s">
        <v>4</v>
      </c>
      <c r="D127" s="4" t="s">
        <v>6</v>
      </c>
      <c r="E127" s="7" t="s">
        <v>7</v>
      </c>
      <c r="F127" s="4">
        <v>46</v>
      </c>
      <c r="G127" s="4">
        <v>7</v>
      </c>
      <c r="H127" s="4">
        <v>1.304</v>
      </c>
      <c r="I127" s="8"/>
      <c r="J127" s="8"/>
      <c r="K127" s="8" t="str">
        <v/>
      </c>
      <c r="L127" s="8"/>
      <c r="M127" s="8"/>
      <c r="N127" s="8"/>
      <c r="O127" s="8" t="str">
        <v/>
      </c>
      <c r="P127" s="8"/>
      <c r="Q127" s="8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thickBot="1" x14ac:dyDescent="0.4">
      <c r="A128" s="4">
        <v>37</v>
      </c>
      <c r="B128" s="12" t="s">
        <v>60</v>
      </c>
      <c r="C128" s="7" t="s">
        <v>4</v>
      </c>
      <c r="D128" s="4" t="s">
        <v>2</v>
      </c>
      <c r="E128" s="7" t="s">
        <v>11</v>
      </c>
      <c r="F128" s="4">
        <v>46</v>
      </c>
      <c r="G128" s="4">
        <v>92.7</v>
      </c>
      <c r="H128" s="4">
        <v>3.6179999999999999</v>
      </c>
      <c r="I128" s="4">
        <v>81</v>
      </c>
      <c r="J128" s="4">
        <v>97</v>
      </c>
      <c r="K128" s="4">
        <v>16</v>
      </c>
      <c r="L128" s="8"/>
      <c r="M128" s="8"/>
      <c r="N128" s="8"/>
      <c r="O128" s="8" t="str">
        <v/>
      </c>
      <c r="P128" s="8"/>
      <c r="Q128" s="8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thickBot="1" x14ac:dyDescent="0.4">
      <c r="A129" s="4">
        <v>37</v>
      </c>
      <c r="B129" s="12" t="s">
        <v>60</v>
      </c>
      <c r="C129" s="7" t="s">
        <v>4</v>
      </c>
      <c r="D129" s="4" t="s">
        <v>6</v>
      </c>
      <c r="E129" s="7" t="s">
        <v>8</v>
      </c>
      <c r="F129" s="4">
        <v>45</v>
      </c>
      <c r="G129" s="4">
        <v>8</v>
      </c>
      <c r="H129" s="4">
        <v>1.5409999999999999</v>
      </c>
      <c r="I129" s="8"/>
      <c r="J129" s="8"/>
      <c r="K129" s="8" t="str">
        <v/>
      </c>
      <c r="L129" s="8"/>
      <c r="M129" s="8"/>
      <c r="N129" s="8"/>
      <c r="O129" s="8" t="str">
        <v/>
      </c>
      <c r="P129" s="8"/>
      <c r="Q129" s="8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thickBot="1" x14ac:dyDescent="0.4">
      <c r="A130" s="4">
        <v>38</v>
      </c>
      <c r="B130" s="12" t="s">
        <v>61</v>
      </c>
      <c r="C130" s="7" t="s">
        <v>1</v>
      </c>
      <c r="D130" s="4" t="s">
        <v>2</v>
      </c>
      <c r="E130" s="7" t="s">
        <v>26</v>
      </c>
      <c r="F130" s="10">
        <v>45</v>
      </c>
      <c r="G130" s="4">
        <v>83.2</v>
      </c>
      <c r="H130" s="4">
        <v>2.8</v>
      </c>
      <c r="I130" s="8"/>
      <c r="J130" s="8"/>
      <c r="K130" s="8" t="str">
        <v/>
      </c>
      <c r="L130" s="8"/>
      <c r="M130" s="8"/>
      <c r="N130" s="8"/>
      <c r="O130" s="8" t="str">
        <v/>
      </c>
      <c r="P130" s="8"/>
      <c r="Q130" s="8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thickBot="1" x14ac:dyDescent="0.4">
      <c r="A131" s="4">
        <v>38</v>
      </c>
      <c r="B131" s="12" t="s">
        <v>61</v>
      </c>
      <c r="C131" s="7" t="s">
        <v>1</v>
      </c>
      <c r="D131" s="4" t="s">
        <v>2</v>
      </c>
      <c r="E131" s="7" t="s">
        <v>11</v>
      </c>
      <c r="F131" s="4">
        <v>45</v>
      </c>
      <c r="G131" s="4">
        <v>95.8</v>
      </c>
      <c r="H131" s="4">
        <v>2.4</v>
      </c>
      <c r="I131" s="8"/>
      <c r="J131" s="8"/>
      <c r="K131" s="8" t="str">
        <v/>
      </c>
      <c r="L131" s="8"/>
      <c r="M131" s="8"/>
      <c r="N131" s="8"/>
      <c r="O131" s="8" t="str">
        <v/>
      </c>
      <c r="P131" s="8"/>
      <c r="Q131" s="8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thickBot="1" x14ac:dyDescent="0.4">
      <c r="A132" s="4">
        <v>38</v>
      </c>
      <c r="B132" s="12" t="s">
        <v>61</v>
      </c>
      <c r="C132" s="7" t="s">
        <v>4</v>
      </c>
      <c r="D132" s="4" t="s">
        <v>2</v>
      </c>
      <c r="E132" s="7" t="s">
        <v>26</v>
      </c>
      <c r="F132" s="4">
        <v>45</v>
      </c>
      <c r="G132" s="4">
        <v>82.78</v>
      </c>
      <c r="H132" s="4">
        <v>2.8</v>
      </c>
      <c r="I132" s="8"/>
      <c r="J132" s="8"/>
      <c r="K132" s="8" t="str">
        <v/>
      </c>
      <c r="L132" s="8"/>
      <c r="M132" s="8"/>
      <c r="N132" s="8"/>
      <c r="O132" s="8" t="str">
        <v/>
      </c>
      <c r="P132" s="8"/>
      <c r="Q132" s="8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thickBot="1" x14ac:dyDescent="0.4">
      <c r="A133" s="4">
        <v>38</v>
      </c>
      <c r="B133" s="12" t="s">
        <v>61</v>
      </c>
      <c r="C133" s="7" t="s">
        <v>4</v>
      </c>
      <c r="D133" s="4" t="s">
        <v>2</v>
      </c>
      <c r="E133" s="7" t="s">
        <v>11</v>
      </c>
      <c r="F133" s="4">
        <v>45</v>
      </c>
      <c r="G133" s="4">
        <v>94</v>
      </c>
      <c r="H133" s="4">
        <v>3.6</v>
      </c>
      <c r="I133" s="8"/>
      <c r="J133" s="8"/>
      <c r="K133" s="8" t="str">
        <v/>
      </c>
      <c r="L133" s="8"/>
      <c r="M133" s="8"/>
      <c r="N133" s="8"/>
      <c r="O133" s="8" t="str">
        <v/>
      </c>
      <c r="P133" s="8"/>
      <c r="Q133" s="8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thickBot="1" x14ac:dyDescent="0.4">
      <c r="A134" s="4">
        <v>41</v>
      </c>
      <c r="B134" s="12" t="s">
        <v>62</v>
      </c>
      <c r="C134" s="7" t="s">
        <v>1</v>
      </c>
      <c r="D134" s="4" t="s">
        <v>6</v>
      </c>
      <c r="E134" s="7" t="s">
        <v>7</v>
      </c>
      <c r="F134" s="4">
        <v>43</v>
      </c>
      <c r="G134" s="4">
        <v>8</v>
      </c>
      <c r="H134" s="4">
        <v>1.593</v>
      </c>
      <c r="I134" s="8"/>
      <c r="J134" s="8"/>
      <c r="K134" s="8" t="str">
        <v/>
      </c>
      <c r="L134" s="8"/>
      <c r="M134" s="8"/>
      <c r="N134" s="8"/>
      <c r="O134" s="8" t="str">
        <v/>
      </c>
      <c r="P134" s="8"/>
      <c r="Q134" s="8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thickBot="1" x14ac:dyDescent="0.4">
      <c r="A135" s="4">
        <v>41</v>
      </c>
      <c r="B135" s="12" t="s">
        <v>62</v>
      </c>
      <c r="C135" s="7" t="s">
        <v>1</v>
      </c>
      <c r="D135" s="4" t="s">
        <v>6</v>
      </c>
      <c r="E135" s="7" t="s">
        <v>8</v>
      </c>
      <c r="F135" s="4">
        <v>43</v>
      </c>
      <c r="G135" s="4">
        <v>3</v>
      </c>
      <c r="H135" s="4">
        <v>0.57399999999999995</v>
      </c>
      <c r="I135" s="8"/>
      <c r="J135" s="8"/>
      <c r="K135" s="8" t="str">
        <v/>
      </c>
      <c r="L135" s="8"/>
      <c r="M135" s="8"/>
      <c r="N135" s="8"/>
      <c r="O135" s="8" t="str">
        <v/>
      </c>
      <c r="P135" s="8"/>
      <c r="Q135" s="8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thickBot="1" x14ac:dyDescent="0.4">
      <c r="A136" s="4">
        <v>41</v>
      </c>
      <c r="B136" s="12" t="s">
        <v>62</v>
      </c>
      <c r="C136" s="7" t="s">
        <v>1</v>
      </c>
      <c r="D136" s="4" t="s">
        <v>2</v>
      </c>
      <c r="E136" s="7" t="s">
        <v>9</v>
      </c>
      <c r="F136" s="4">
        <v>43</v>
      </c>
      <c r="G136" s="4">
        <v>1.7</v>
      </c>
      <c r="H136" s="4">
        <v>2.6320000000000001</v>
      </c>
      <c r="I136" s="4">
        <v>-3.7</v>
      </c>
      <c r="J136" s="4">
        <v>7.8</v>
      </c>
      <c r="K136" s="4">
        <v>11.5</v>
      </c>
      <c r="L136" s="8"/>
      <c r="M136" s="8"/>
      <c r="N136" s="8"/>
      <c r="O136" s="8" t="str">
        <v/>
      </c>
      <c r="P136" s="8"/>
      <c r="Q136" s="8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thickBot="1" x14ac:dyDescent="0.4">
      <c r="A137" s="4">
        <v>41</v>
      </c>
      <c r="B137" s="12" t="s">
        <v>62</v>
      </c>
      <c r="C137" s="7" t="s">
        <v>1</v>
      </c>
      <c r="D137" s="4" t="s">
        <v>2</v>
      </c>
      <c r="E137" s="7" t="s">
        <v>3</v>
      </c>
      <c r="F137" s="4">
        <v>43</v>
      </c>
      <c r="G137" s="4">
        <v>5.98</v>
      </c>
      <c r="H137" s="4">
        <v>1.6020000000000001</v>
      </c>
      <c r="I137" s="4">
        <v>2</v>
      </c>
      <c r="J137" s="4">
        <v>9</v>
      </c>
      <c r="K137" s="4">
        <v>7</v>
      </c>
      <c r="L137" s="4">
        <v>6.1</v>
      </c>
      <c r="M137" s="8"/>
      <c r="N137" s="8"/>
      <c r="O137" s="8" t="str">
        <v/>
      </c>
      <c r="P137" s="8"/>
      <c r="Q137" s="8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thickBot="1" x14ac:dyDescent="0.4">
      <c r="A138" s="4">
        <v>41</v>
      </c>
      <c r="B138" s="12" t="s">
        <v>62</v>
      </c>
      <c r="C138" s="7" t="s">
        <v>4</v>
      </c>
      <c r="D138" s="4" t="s">
        <v>6</v>
      </c>
      <c r="E138" s="7" t="s">
        <v>7</v>
      </c>
      <c r="F138" s="4">
        <v>46</v>
      </c>
      <c r="G138" s="4">
        <v>8</v>
      </c>
      <c r="H138" s="4">
        <v>1.5169999999999999</v>
      </c>
      <c r="I138" s="8"/>
      <c r="J138" s="8"/>
      <c r="K138" s="8" t="str">
        <v/>
      </c>
      <c r="L138" s="8"/>
      <c r="M138" s="8"/>
      <c r="N138" s="8"/>
      <c r="O138" s="8" t="str">
        <v/>
      </c>
      <c r="P138" s="8"/>
      <c r="Q138" s="8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thickBot="1" x14ac:dyDescent="0.4">
      <c r="A139" s="4">
        <v>41</v>
      </c>
      <c r="B139" s="12" t="s">
        <v>62</v>
      </c>
      <c r="C139" s="7" t="s">
        <v>4</v>
      </c>
      <c r="D139" s="4" t="s">
        <v>6</v>
      </c>
      <c r="E139" s="7" t="s">
        <v>8</v>
      </c>
      <c r="F139" s="4">
        <v>46</v>
      </c>
      <c r="G139" s="4">
        <v>3</v>
      </c>
      <c r="H139" s="4">
        <v>0.55200000000000005</v>
      </c>
      <c r="I139" s="8"/>
      <c r="J139" s="8"/>
      <c r="K139" s="8" t="str">
        <v/>
      </c>
      <c r="L139" s="8"/>
      <c r="M139" s="8"/>
      <c r="N139" s="8"/>
      <c r="O139" s="8" t="str">
        <v/>
      </c>
      <c r="P139" s="8"/>
      <c r="Q139" s="8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thickBot="1" x14ac:dyDescent="0.4">
      <c r="A140" s="4">
        <v>41</v>
      </c>
      <c r="B140" s="12" t="s">
        <v>62</v>
      </c>
      <c r="C140" s="7" t="s">
        <v>4</v>
      </c>
      <c r="D140" s="4" t="s">
        <v>2</v>
      </c>
      <c r="E140" s="7" t="s">
        <v>9</v>
      </c>
      <c r="F140" s="4">
        <v>46</v>
      </c>
      <c r="G140" s="4">
        <v>1.2</v>
      </c>
      <c r="H140" s="4">
        <v>2.6459999999999999</v>
      </c>
      <c r="I140" s="4">
        <v>-4.3</v>
      </c>
      <c r="J140" s="4">
        <v>7.4</v>
      </c>
      <c r="K140" s="4">
        <v>11.7</v>
      </c>
      <c r="L140" s="8"/>
      <c r="M140" s="8"/>
      <c r="N140" s="8"/>
      <c r="O140" s="8" t="str">
        <v/>
      </c>
      <c r="P140" s="8"/>
      <c r="Q140" s="8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thickBot="1" x14ac:dyDescent="0.4">
      <c r="A141" s="4">
        <v>41</v>
      </c>
      <c r="B141" s="12" t="s">
        <v>62</v>
      </c>
      <c r="C141" s="7" t="s">
        <v>4</v>
      </c>
      <c r="D141" s="4" t="s">
        <v>2</v>
      </c>
      <c r="E141" s="7" t="s">
        <v>3</v>
      </c>
      <c r="F141" s="4">
        <v>46</v>
      </c>
      <c r="G141" s="4">
        <v>5.82</v>
      </c>
      <c r="H141" s="4">
        <v>2.2610000000000001</v>
      </c>
      <c r="I141" s="4">
        <v>0</v>
      </c>
      <c r="J141" s="4">
        <v>10</v>
      </c>
      <c r="K141" s="4">
        <v>10</v>
      </c>
      <c r="L141" s="4">
        <v>6</v>
      </c>
      <c r="M141" s="8"/>
      <c r="N141" s="8"/>
      <c r="O141" s="8" t="str">
        <v/>
      </c>
      <c r="P141" s="8"/>
      <c r="Q141" s="8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thickBot="1" x14ac:dyDescent="0.4">
      <c r="A142" s="4">
        <v>43</v>
      </c>
      <c r="B142" s="12" t="s">
        <v>27</v>
      </c>
      <c r="C142" s="7" t="s">
        <v>1</v>
      </c>
      <c r="D142" s="4" t="s">
        <v>2</v>
      </c>
      <c r="E142" s="7" t="s">
        <v>11</v>
      </c>
      <c r="F142" s="4">
        <v>74</v>
      </c>
      <c r="G142" s="4">
        <v>88</v>
      </c>
      <c r="H142" s="4">
        <v>7.5</v>
      </c>
      <c r="I142" s="8"/>
      <c r="J142" s="8"/>
      <c r="K142" s="8" t="str">
        <v/>
      </c>
      <c r="L142" s="8"/>
      <c r="M142" s="8"/>
      <c r="N142" s="8"/>
      <c r="O142" s="8" t="str">
        <v/>
      </c>
      <c r="P142" s="8"/>
      <c r="Q142" s="8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thickBot="1" x14ac:dyDescent="0.4">
      <c r="A143" s="4">
        <v>43</v>
      </c>
      <c r="B143" s="12" t="s">
        <v>27</v>
      </c>
      <c r="C143" s="7" t="s">
        <v>1</v>
      </c>
      <c r="D143" s="4" t="s">
        <v>2</v>
      </c>
      <c r="E143" s="7" t="s">
        <v>9</v>
      </c>
      <c r="F143" s="4">
        <v>74</v>
      </c>
      <c r="G143" s="4">
        <v>0.6</v>
      </c>
      <c r="H143" s="4">
        <v>0.20899999999999999</v>
      </c>
      <c r="I143" s="4">
        <v>0</v>
      </c>
      <c r="J143" s="4">
        <v>1</v>
      </c>
      <c r="K143" s="4">
        <v>1</v>
      </c>
      <c r="L143" s="8"/>
      <c r="M143" s="8"/>
      <c r="N143" s="8"/>
      <c r="O143" s="8" t="str">
        <v/>
      </c>
      <c r="P143" s="8"/>
      <c r="Q143" s="8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thickBot="1" x14ac:dyDescent="0.4">
      <c r="A144" s="17">
        <v>43</v>
      </c>
      <c r="B144" s="12" t="s">
        <v>27</v>
      </c>
      <c r="C144" s="7" t="s">
        <v>1</v>
      </c>
      <c r="D144" s="4" t="s">
        <v>6</v>
      </c>
      <c r="E144" s="7" t="s">
        <v>19</v>
      </c>
      <c r="F144" s="4">
        <v>74</v>
      </c>
      <c r="G144" s="4">
        <v>0</v>
      </c>
      <c r="H144" s="4">
        <v>5.8000000000000003E-2</v>
      </c>
      <c r="I144" s="8"/>
      <c r="J144" s="8"/>
      <c r="K144" s="8" t="str">
        <v/>
      </c>
      <c r="L144" s="8"/>
      <c r="M144" s="8"/>
      <c r="N144" s="8"/>
      <c r="O144" s="8" t="str">
        <v/>
      </c>
      <c r="P144" s="8"/>
      <c r="Q144" s="8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thickBot="1" x14ac:dyDescent="0.4">
      <c r="A145" s="4">
        <v>43</v>
      </c>
      <c r="B145" s="12" t="s">
        <v>27</v>
      </c>
      <c r="C145" s="7" t="s">
        <v>4</v>
      </c>
      <c r="D145" s="4" t="s">
        <v>2</v>
      </c>
      <c r="E145" s="7" t="s">
        <v>11</v>
      </c>
      <c r="F145" s="4">
        <v>73</v>
      </c>
      <c r="G145" s="4">
        <v>90</v>
      </c>
      <c r="H145" s="4">
        <v>7.6</v>
      </c>
      <c r="I145" s="8"/>
      <c r="J145" s="8"/>
      <c r="K145" s="8" t="str">
        <v/>
      </c>
      <c r="L145" s="8"/>
      <c r="M145" s="8"/>
      <c r="N145" s="8"/>
      <c r="O145" s="8" t="str">
        <v/>
      </c>
      <c r="P145" s="8"/>
      <c r="Q145" s="8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thickBot="1" x14ac:dyDescent="0.4">
      <c r="A146" s="4">
        <v>43</v>
      </c>
      <c r="B146" s="12" t="s">
        <v>27</v>
      </c>
      <c r="C146" s="7" t="s">
        <v>4</v>
      </c>
      <c r="D146" s="4" t="s">
        <v>2</v>
      </c>
      <c r="E146" s="7" t="s">
        <v>9</v>
      </c>
      <c r="F146" s="4">
        <v>73</v>
      </c>
      <c r="G146" s="4">
        <v>0.5</v>
      </c>
      <c r="H146" s="4">
        <v>0.41899999999999998</v>
      </c>
      <c r="I146" s="4">
        <v>0</v>
      </c>
      <c r="J146" s="4">
        <v>2</v>
      </c>
      <c r="K146" s="4">
        <v>2</v>
      </c>
      <c r="L146" s="8"/>
      <c r="M146" s="8"/>
      <c r="N146" s="8"/>
      <c r="O146" s="8" t="str">
        <v/>
      </c>
      <c r="P146" s="8"/>
      <c r="Q146" s="8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thickBot="1" x14ac:dyDescent="0.4">
      <c r="A147" s="17">
        <v>43</v>
      </c>
      <c r="B147" s="12" t="s">
        <v>27</v>
      </c>
      <c r="C147" s="7" t="s">
        <v>4</v>
      </c>
      <c r="D147" s="4" t="s">
        <v>6</v>
      </c>
      <c r="E147" s="7" t="s">
        <v>19</v>
      </c>
      <c r="F147" s="4">
        <v>73</v>
      </c>
      <c r="G147" s="4">
        <v>2</v>
      </c>
      <c r="H147" s="4">
        <v>0.30099999999999999</v>
      </c>
      <c r="I147" s="8"/>
      <c r="J147" s="8"/>
      <c r="K147" s="8" t="str">
        <v/>
      </c>
      <c r="L147" s="8"/>
      <c r="M147" s="8"/>
      <c r="N147" s="8"/>
      <c r="O147" s="8" t="str">
        <v/>
      </c>
      <c r="P147" s="8"/>
      <c r="Q147" s="8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thickBot="1" x14ac:dyDescent="0.4">
      <c r="A148" s="4">
        <v>44</v>
      </c>
      <c r="B148" s="12" t="s">
        <v>28</v>
      </c>
      <c r="C148" s="7" t="s">
        <v>1</v>
      </c>
      <c r="D148" s="4" t="s">
        <v>2</v>
      </c>
      <c r="E148" s="7" t="s">
        <v>26</v>
      </c>
      <c r="F148" s="4">
        <v>36</v>
      </c>
      <c r="G148" s="4">
        <v>74.2</v>
      </c>
      <c r="H148" s="4">
        <v>10.199999999999999</v>
      </c>
      <c r="I148" s="8"/>
      <c r="J148" s="8"/>
      <c r="K148" s="8" t="str">
        <v/>
      </c>
      <c r="L148" s="8"/>
      <c r="M148" s="8"/>
      <c r="N148" s="8"/>
      <c r="O148" s="8" t="str">
        <v/>
      </c>
      <c r="P148" s="8"/>
      <c r="Q148" s="8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thickBot="1" x14ac:dyDescent="0.4">
      <c r="A149" s="4">
        <v>44</v>
      </c>
      <c r="B149" s="12" t="s">
        <v>28</v>
      </c>
      <c r="C149" s="7" t="s">
        <v>1</v>
      </c>
      <c r="D149" s="4" t="s">
        <v>2</v>
      </c>
      <c r="E149" s="7" t="s">
        <v>11</v>
      </c>
      <c r="F149" s="4">
        <v>36</v>
      </c>
      <c r="G149" s="4">
        <v>93.4</v>
      </c>
      <c r="H149" s="4">
        <v>9.6</v>
      </c>
      <c r="I149" s="8"/>
      <c r="J149" s="8"/>
      <c r="K149" s="8" t="str">
        <v/>
      </c>
      <c r="L149" s="8"/>
      <c r="M149" s="8"/>
      <c r="N149" s="8"/>
      <c r="O149" s="8" t="str">
        <v/>
      </c>
      <c r="P149" s="8"/>
      <c r="Q149" s="8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thickBot="1" x14ac:dyDescent="0.4">
      <c r="A150" s="4">
        <v>44</v>
      </c>
      <c r="B150" s="12" t="s">
        <v>28</v>
      </c>
      <c r="C150" s="7" t="s">
        <v>31</v>
      </c>
      <c r="D150" s="4" t="s">
        <v>2</v>
      </c>
      <c r="E150" s="7" t="s">
        <v>26</v>
      </c>
      <c r="F150" s="4">
        <v>36</v>
      </c>
      <c r="G150" s="4">
        <v>78.3</v>
      </c>
      <c r="H150" s="4">
        <v>10.5</v>
      </c>
      <c r="I150" s="8"/>
      <c r="J150" s="8"/>
      <c r="K150" s="8" t="str">
        <v/>
      </c>
      <c r="L150" s="8"/>
      <c r="M150" s="8"/>
      <c r="N150" s="8"/>
      <c r="O150" s="8" t="str">
        <v/>
      </c>
      <c r="P150" s="8"/>
      <c r="Q150" s="8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thickBot="1" x14ac:dyDescent="0.4">
      <c r="A151" s="4">
        <v>44</v>
      </c>
      <c r="B151" s="12" t="s">
        <v>28</v>
      </c>
      <c r="C151" s="7" t="s">
        <v>31</v>
      </c>
      <c r="D151" s="4" t="s">
        <v>2</v>
      </c>
      <c r="E151" s="7" t="s">
        <v>11</v>
      </c>
      <c r="F151" s="4">
        <v>36</v>
      </c>
      <c r="G151" s="4">
        <v>90.1</v>
      </c>
      <c r="H151" s="4">
        <v>6.7</v>
      </c>
      <c r="I151" s="8"/>
      <c r="J151" s="8"/>
      <c r="K151" s="8" t="str">
        <v/>
      </c>
      <c r="L151" s="8"/>
      <c r="M151" s="8"/>
      <c r="N151" s="8"/>
      <c r="O151" s="8" t="str">
        <v/>
      </c>
      <c r="P151" s="8"/>
      <c r="Q151" s="8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thickBot="1" x14ac:dyDescent="0.4">
      <c r="A152" s="4">
        <v>45</v>
      </c>
      <c r="B152" s="12" t="s">
        <v>29</v>
      </c>
      <c r="C152" s="7" t="s">
        <v>1</v>
      </c>
      <c r="D152" s="4" t="s">
        <v>2</v>
      </c>
      <c r="E152" s="7" t="s">
        <v>9</v>
      </c>
      <c r="F152" s="4">
        <v>24</v>
      </c>
      <c r="G152" s="4">
        <v>1.8</v>
      </c>
      <c r="H152" s="4">
        <v>0.51400000000000001</v>
      </c>
      <c r="I152" s="4">
        <v>1</v>
      </c>
      <c r="J152" s="4">
        <v>3</v>
      </c>
      <c r="K152" s="4">
        <v>2</v>
      </c>
      <c r="L152" s="8"/>
      <c r="M152" s="8"/>
      <c r="N152" s="8"/>
      <c r="O152" s="8" t="str">
        <v/>
      </c>
      <c r="P152" s="8"/>
      <c r="Q152" s="8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thickBot="1" x14ac:dyDescent="0.4">
      <c r="A153" s="4">
        <v>45</v>
      </c>
      <c r="B153" s="12" t="s">
        <v>29</v>
      </c>
      <c r="C153" s="7" t="s">
        <v>1</v>
      </c>
      <c r="D153" s="4" t="s">
        <v>6</v>
      </c>
      <c r="E153" s="7" t="s">
        <v>7</v>
      </c>
      <c r="F153" s="4">
        <v>24</v>
      </c>
      <c r="G153" s="4">
        <v>8</v>
      </c>
      <c r="H153" s="4">
        <v>2.6030000000000002</v>
      </c>
      <c r="I153" s="8"/>
      <c r="J153" s="8"/>
      <c r="K153" s="8" t="str">
        <v/>
      </c>
      <c r="L153" s="8"/>
      <c r="M153" s="8"/>
      <c r="N153" s="8"/>
      <c r="O153" s="8" t="str">
        <v/>
      </c>
      <c r="P153" s="8"/>
      <c r="Q153" s="8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thickBot="1" x14ac:dyDescent="0.4">
      <c r="A154" s="4">
        <v>45</v>
      </c>
      <c r="B154" s="12" t="s">
        <v>29</v>
      </c>
      <c r="C154" s="7" t="s">
        <v>1</v>
      </c>
      <c r="D154" s="4" t="s">
        <v>2</v>
      </c>
      <c r="E154" s="7" t="s">
        <v>3</v>
      </c>
      <c r="F154" s="4">
        <v>24</v>
      </c>
      <c r="G154" s="4">
        <v>5.9</v>
      </c>
      <c r="H154" s="4">
        <v>1.284</v>
      </c>
      <c r="I154" s="4">
        <v>4</v>
      </c>
      <c r="J154" s="4">
        <v>9</v>
      </c>
      <c r="K154" s="4">
        <v>5</v>
      </c>
      <c r="L154" s="8"/>
      <c r="M154" s="8"/>
      <c r="N154" s="8"/>
      <c r="O154" s="8" t="str">
        <v/>
      </c>
      <c r="P154" s="8"/>
      <c r="Q154" s="8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thickBot="1" x14ac:dyDescent="0.4">
      <c r="A155" s="4">
        <v>45</v>
      </c>
      <c r="B155" s="12" t="s">
        <v>29</v>
      </c>
      <c r="C155" s="7" t="s">
        <v>1</v>
      </c>
      <c r="D155" s="4" t="s">
        <v>2</v>
      </c>
      <c r="E155" s="7" t="s">
        <v>11</v>
      </c>
      <c r="F155" s="4">
        <v>24</v>
      </c>
      <c r="G155" s="4">
        <v>92</v>
      </c>
      <c r="H155" s="4">
        <v>8.9890000000000008</v>
      </c>
      <c r="I155" s="4">
        <v>63</v>
      </c>
      <c r="J155" s="4">
        <v>98</v>
      </c>
      <c r="K155" s="4">
        <v>35</v>
      </c>
      <c r="L155" s="8"/>
      <c r="M155" s="8"/>
      <c r="N155" s="8"/>
      <c r="O155" s="8" t="str">
        <v/>
      </c>
      <c r="P155" s="8"/>
      <c r="Q155" s="8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thickBot="1" x14ac:dyDescent="0.4">
      <c r="A156" s="4">
        <v>45</v>
      </c>
      <c r="B156" s="12" t="s">
        <v>29</v>
      </c>
      <c r="C156" s="7" t="s">
        <v>4</v>
      </c>
      <c r="D156" s="4" t="s">
        <v>2</v>
      </c>
      <c r="E156" s="7" t="s">
        <v>9</v>
      </c>
      <c r="F156" s="4">
        <v>23</v>
      </c>
      <c r="G156" s="4">
        <v>2.2000000000000002</v>
      </c>
      <c r="H156" s="4">
        <v>0.77800000000000002</v>
      </c>
      <c r="I156" s="4">
        <v>1</v>
      </c>
      <c r="J156" s="4">
        <v>4</v>
      </c>
      <c r="K156" s="4">
        <v>3</v>
      </c>
      <c r="L156" s="8"/>
      <c r="M156" s="8"/>
      <c r="N156" s="8"/>
      <c r="O156" s="8" t="str">
        <v/>
      </c>
      <c r="P156" s="8"/>
      <c r="Q156" s="8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thickBot="1" x14ac:dyDescent="0.4">
      <c r="A157" s="4">
        <v>45</v>
      </c>
      <c r="B157" s="12" t="s">
        <v>29</v>
      </c>
      <c r="C157" s="7" t="s">
        <v>4</v>
      </c>
      <c r="D157" s="4" t="s">
        <v>6</v>
      </c>
      <c r="E157" s="7" t="s">
        <v>7</v>
      </c>
      <c r="F157" s="4">
        <v>23</v>
      </c>
      <c r="G157" s="4">
        <v>11</v>
      </c>
      <c r="H157" s="4">
        <v>4.5960000000000001</v>
      </c>
      <c r="I157" s="8"/>
      <c r="J157" s="8"/>
      <c r="K157" s="8" t="str">
        <v/>
      </c>
      <c r="L157" s="8"/>
      <c r="M157" s="8"/>
      <c r="N157" s="8"/>
      <c r="O157" s="8" t="str">
        <v/>
      </c>
      <c r="P157" s="8"/>
      <c r="Q157" s="8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thickBot="1" x14ac:dyDescent="0.4">
      <c r="A158" s="4">
        <v>45</v>
      </c>
      <c r="B158" s="12" t="s">
        <v>29</v>
      </c>
      <c r="C158" s="7" t="s">
        <v>4</v>
      </c>
      <c r="D158" s="4" t="s">
        <v>2</v>
      </c>
      <c r="E158" s="7" t="s">
        <v>3</v>
      </c>
      <c r="F158" s="4">
        <v>23</v>
      </c>
      <c r="G158" s="4">
        <v>5.0999999999999996</v>
      </c>
      <c r="H158" s="4">
        <v>1.0369999999999999</v>
      </c>
      <c r="I158" s="4">
        <v>3</v>
      </c>
      <c r="J158" s="4">
        <v>7</v>
      </c>
      <c r="K158" s="4">
        <v>4</v>
      </c>
      <c r="L158" s="8"/>
      <c r="M158" s="8"/>
      <c r="N158" s="8"/>
      <c r="O158" s="8" t="str">
        <v/>
      </c>
      <c r="P158" s="8"/>
      <c r="Q158" s="8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thickBot="1" x14ac:dyDescent="0.4">
      <c r="A159" s="4">
        <v>45</v>
      </c>
      <c r="B159" s="12" t="s">
        <v>29</v>
      </c>
      <c r="C159" s="7" t="s">
        <v>4</v>
      </c>
      <c r="D159" s="4" t="s">
        <v>2</v>
      </c>
      <c r="E159" s="7" t="s">
        <v>11</v>
      </c>
      <c r="F159" s="4">
        <v>23</v>
      </c>
      <c r="G159" s="4">
        <v>91.8</v>
      </c>
      <c r="H159" s="4">
        <v>9.3330000000000002</v>
      </c>
      <c r="I159" s="4">
        <v>62</v>
      </c>
      <c r="J159" s="4">
        <v>98</v>
      </c>
      <c r="K159" s="4">
        <v>36</v>
      </c>
      <c r="L159" s="8"/>
      <c r="M159" s="8"/>
      <c r="N159" s="8"/>
      <c r="O159" s="8" t="str">
        <v/>
      </c>
      <c r="P159" s="8"/>
      <c r="Q159" s="8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thickBot="1" x14ac:dyDescent="0.4">
      <c r="A160" s="4">
        <v>46</v>
      </c>
      <c r="B160" s="12" t="s">
        <v>30</v>
      </c>
      <c r="C160" s="7" t="s">
        <v>1</v>
      </c>
      <c r="D160" s="4" t="s">
        <v>2</v>
      </c>
      <c r="E160" s="7" t="s">
        <v>9</v>
      </c>
      <c r="F160" s="4">
        <v>15</v>
      </c>
      <c r="G160" s="4">
        <v>1.22</v>
      </c>
      <c r="H160" s="4">
        <v>0.69</v>
      </c>
      <c r="I160" s="4">
        <v>0.3</v>
      </c>
      <c r="J160" s="4">
        <v>2.7</v>
      </c>
      <c r="K160" s="4">
        <v>2.4000000000000004</v>
      </c>
      <c r="L160" s="8"/>
      <c r="M160" s="8"/>
      <c r="N160" s="8"/>
      <c r="O160" s="8" t="str">
        <v/>
      </c>
      <c r="P160" s="8"/>
      <c r="Q160" s="8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thickBot="1" x14ac:dyDescent="0.4">
      <c r="A161" s="4">
        <v>46</v>
      </c>
      <c r="B161" s="12" t="s">
        <v>30</v>
      </c>
      <c r="C161" s="7" t="s">
        <v>1</v>
      </c>
      <c r="D161" s="4" t="s">
        <v>6</v>
      </c>
      <c r="E161" s="7" t="s">
        <v>8</v>
      </c>
      <c r="F161" s="4">
        <v>15</v>
      </c>
      <c r="G161" s="4">
        <v>2</v>
      </c>
      <c r="H161" s="4">
        <v>0.745</v>
      </c>
      <c r="I161" s="8"/>
      <c r="J161" s="8"/>
      <c r="K161" s="8" t="str">
        <v/>
      </c>
      <c r="L161" s="8"/>
      <c r="M161" s="8"/>
      <c r="N161" s="8"/>
      <c r="O161" s="8" t="str">
        <v/>
      </c>
      <c r="P161" s="8"/>
      <c r="Q161" s="8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thickBot="1" x14ac:dyDescent="0.4">
      <c r="A162" s="4">
        <v>46</v>
      </c>
      <c r="B162" s="12" t="s">
        <v>30</v>
      </c>
      <c r="C162" s="7" t="s">
        <v>4</v>
      </c>
      <c r="D162" s="4" t="s">
        <v>2</v>
      </c>
      <c r="E162" s="7" t="s">
        <v>9</v>
      </c>
      <c r="F162" s="4">
        <v>13</v>
      </c>
      <c r="G162" s="4">
        <v>0.96</v>
      </c>
      <c r="H162" s="4">
        <v>0.41799999999999998</v>
      </c>
      <c r="I162" s="4">
        <v>0.2</v>
      </c>
      <c r="J162" s="4">
        <v>1.6</v>
      </c>
      <c r="K162" s="4">
        <v>1.4000000000000001</v>
      </c>
      <c r="L162" s="8"/>
      <c r="M162" s="8"/>
      <c r="N162" s="8"/>
      <c r="O162" s="8" t="str">
        <v/>
      </c>
      <c r="P162" s="8"/>
      <c r="Q162" s="8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thickBot="1" x14ac:dyDescent="0.4">
      <c r="A163" s="4">
        <v>46</v>
      </c>
      <c r="B163" s="12" t="s">
        <v>30</v>
      </c>
      <c r="C163" s="7" t="s">
        <v>4</v>
      </c>
      <c r="D163" s="4" t="s">
        <v>6</v>
      </c>
      <c r="E163" s="7" t="s">
        <v>8</v>
      </c>
      <c r="F163" s="4">
        <v>13</v>
      </c>
      <c r="G163" s="4">
        <v>2</v>
      </c>
      <c r="H163" s="4">
        <v>0.81899999999999995</v>
      </c>
      <c r="I163" s="8"/>
      <c r="J163" s="8"/>
      <c r="K163" s="8" t="str">
        <v/>
      </c>
      <c r="L163" s="8"/>
      <c r="M163" s="8"/>
      <c r="N163" s="8"/>
      <c r="O163" s="8" t="str">
        <v/>
      </c>
      <c r="P163" s="8"/>
      <c r="Q163" s="8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thickBot="1" x14ac:dyDescent="0.4">
      <c r="A164" s="4">
        <v>47</v>
      </c>
      <c r="B164" s="12" t="s">
        <v>32</v>
      </c>
      <c r="C164" s="7" t="s">
        <v>4</v>
      </c>
      <c r="D164" s="4" t="s">
        <v>6</v>
      </c>
      <c r="E164" s="7" t="s">
        <v>8</v>
      </c>
      <c r="F164" s="4">
        <v>48</v>
      </c>
      <c r="G164" s="4">
        <v>6</v>
      </c>
      <c r="H164" s="4">
        <v>1.0720000000000001</v>
      </c>
      <c r="I164" s="8"/>
      <c r="J164" s="8"/>
      <c r="K164" s="8" t="str">
        <v/>
      </c>
      <c r="L164" s="8"/>
      <c r="M164" s="8"/>
      <c r="N164" s="8"/>
      <c r="O164" s="8" t="str">
        <v/>
      </c>
      <c r="P164" s="8"/>
      <c r="Q164" s="8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thickBot="1" x14ac:dyDescent="0.4">
      <c r="A165" s="4">
        <v>47</v>
      </c>
      <c r="B165" s="12" t="s">
        <v>32</v>
      </c>
      <c r="C165" s="7" t="s">
        <v>55</v>
      </c>
      <c r="D165" s="4" t="s">
        <v>6</v>
      </c>
      <c r="E165" s="7" t="s">
        <v>8</v>
      </c>
      <c r="F165" s="4">
        <v>44</v>
      </c>
      <c r="G165" s="4">
        <v>4</v>
      </c>
      <c r="H165" s="4">
        <v>0.746</v>
      </c>
      <c r="I165" s="8"/>
      <c r="J165" s="8"/>
      <c r="K165" s="8" t="str">
        <v/>
      </c>
      <c r="L165" s="8"/>
      <c r="M165" s="8"/>
      <c r="N165" s="8"/>
      <c r="O165" s="8" t="str">
        <v/>
      </c>
      <c r="P165" s="8"/>
      <c r="Q165" s="8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thickBot="1" x14ac:dyDescent="0.4">
      <c r="A166" s="4">
        <v>49</v>
      </c>
      <c r="B166" s="12" t="s">
        <v>33</v>
      </c>
      <c r="C166" s="7" t="s">
        <v>1</v>
      </c>
      <c r="D166" s="4" t="s">
        <v>2</v>
      </c>
      <c r="E166" s="7" t="s">
        <v>3</v>
      </c>
      <c r="F166" s="4">
        <v>40</v>
      </c>
      <c r="G166" s="4">
        <v>6</v>
      </c>
      <c r="H166" s="4">
        <v>1.855</v>
      </c>
      <c r="I166" s="4">
        <v>2</v>
      </c>
      <c r="J166" s="4">
        <v>10</v>
      </c>
      <c r="K166" s="4">
        <v>8</v>
      </c>
      <c r="L166" s="8"/>
      <c r="M166" s="8"/>
      <c r="N166" s="8"/>
      <c r="O166" s="8" t="str">
        <v/>
      </c>
      <c r="P166" s="8"/>
      <c r="Q166" s="8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thickBot="1" x14ac:dyDescent="0.4">
      <c r="A167" s="4">
        <v>49</v>
      </c>
      <c r="B167" s="12" t="s">
        <v>33</v>
      </c>
      <c r="C167" s="7" t="s">
        <v>1</v>
      </c>
      <c r="D167" s="4" t="s">
        <v>2</v>
      </c>
      <c r="E167" s="7" t="s">
        <v>11</v>
      </c>
      <c r="F167" s="4">
        <v>40</v>
      </c>
      <c r="G167" s="4">
        <v>94</v>
      </c>
      <c r="H167" s="4">
        <v>18.085999999999999</v>
      </c>
      <c r="I167" s="4">
        <v>22</v>
      </c>
      <c r="J167" s="4">
        <v>100</v>
      </c>
      <c r="K167" s="4">
        <v>78</v>
      </c>
      <c r="L167" s="8"/>
      <c r="M167" s="8"/>
      <c r="N167" s="8"/>
      <c r="O167" s="8" t="str">
        <v/>
      </c>
      <c r="P167" s="8"/>
      <c r="Q167" s="8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thickBot="1" x14ac:dyDescent="0.4">
      <c r="A168" s="4">
        <v>49</v>
      </c>
      <c r="B168" s="12" t="s">
        <v>33</v>
      </c>
      <c r="C168" s="7" t="s">
        <v>1</v>
      </c>
      <c r="D168" s="4" t="s">
        <v>2</v>
      </c>
      <c r="E168" s="7" t="s">
        <v>9</v>
      </c>
      <c r="F168" s="4">
        <v>40</v>
      </c>
      <c r="G168" s="4">
        <v>1</v>
      </c>
      <c r="H168" s="4">
        <v>3.0139999999999998</v>
      </c>
      <c r="I168" s="4">
        <v>-5</v>
      </c>
      <c r="J168" s="4">
        <v>8</v>
      </c>
      <c r="K168" s="4">
        <v>13</v>
      </c>
      <c r="L168" s="8"/>
      <c r="M168" s="8"/>
      <c r="N168" s="8"/>
      <c r="O168" s="8" t="str">
        <v/>
      </c>
      <c r="P168" s="8"/>
      <c r="Q168" s="8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thickBot="1" x14ac:dyDescent="0.4">
      <c r="A169" s="4">
        <v>49</v>
      </c>
      <c r="B169" s="12" t="s">
        <v>33</v>
      </c>
      <c r="C169" s="7" t="s">
        <v>1</v>
      </c>
      <c r="D169" s="4" t="s">
        <v>6</v>
      </c>
      <c r="E169" s="7" t="s">
        <v>19</v>
      </c>
      <c r="F169" s="4">
        <v>40</v>
      </c>
      <c r="G169" s="4">
        <v>1</v>
      </c>
      <c r="H169" s="4">
        <v>0.24299999999999999</v>
      </c>
      <c r="I169" s="8"/>
      <c r="J169" s="8"/>
      <c r="K169" s="8" t="str">
        <v/>
      </c>
      <c r="L169" s="8"/>
      <c r="M169" s="8"/>
      <c r="N169" s="8"/>
      <c r="O169" s="8" t="str">
        <v/>
      </c>
      <c r="P169" s="8"/>
      <c r="Q169" s="8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thickBot="1" x14ac:dyDescent="0.4">
      <c r="A170" s="17">
        <v>49</v>
      </c>
      <c r="B170" s="12" t="s">
        <v>33</v>
      </c>
      <c r="C170" s="7" t="s">
        <v>4</v>
      </c>
      <c r="D170" s="4" t="s">
        <v>2</v>
      </c>
      <c r="E170" s="7" t="s">
        <v>3</v>
      </c>
      <c r="F170" s="4">
        <v>78</v>
      </c>
      <c r="G170" s="4">
        <v>4</v>
      </c>
      <c r="H170" s="4">
        <v>1.6419999999999999</v>
      </c>
      <c r="I170" s="8"/>
      <c r="J170" s="8"/>
      <c r="K170" s="8" t="str">
        <v/>
      </c>
      <c r="L170" s="8"/>
      <c r="M170" s="8"/>
      <c r="N170" s="8"/>
      <c r="O170" s="8" t="str">
        <v/>
      </c>
      <c r="P170" s="8"/>
      <c r="Q170" s="8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thickBot="1" x14ac:dyDescent="0.4">
      <c r="A171" s="17">
        <v>49</v>
      </c>
      <c r="B171" s="12" t="s">
        <v>33</v>
      </c>
      <c r="C171" s="7" t="s">
        <v>4</v>
      </c>
      <c r="D171" s="4" t="s">
        <v>2</v>
      </c>
      <c r="E171" s="7" t="s">
        <v>11</v>
      </c>
      <c r="F171" s="4">
        <v>78</v>
      </c>
      <c r="G171" s="4">
        <v>92</v>
      </c>
      <c r="H171" s="4">
        <v>13.398</v>
      </c>
      <c r="I171" s="8"/>
      <c r="J171" s="8"/>
      <c r="K171" s="8" t="str">
        <v/>
      </c>
      <c r="L171" s="8"/>
      <c r="M171" s="8"/>
      <c r="N171" s="8"/>
      <c r="O171" s="8" t="str">
        <v/>
      </c>
      <c r="P171" s="8"/>
      <c r="Q171" s="8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thickBot="1" x14ac:dyDescent="0.4">
      <c r="A172" s="17">
        <v>49</v>
      </c>
      <c r="B172" s="12" t="s">
        <v>33</v>
      </c>
      <c r="C172" s="7" t="s">
        <v>4</v>
      </c>
      <c r="D172" s="4" t="s">
        <v>2</v>
      </c>
      <c r="E172" s="7" t="s">
        <v>9</v>
      </c>
      <c r="F172" s="4">
        <v>78</v>
      </c>
      <c r="G172" s="4">
        <v>1.5</v>
      </c>
      <c r="H172" s="4">
        <v>3.1179999999999999</v>
      </c>
      <c r="I172" s="8"/>
      <c r="J172" s="8"/>
      <c r="K172" s="8" t="str">
        <v/>
      </c>
      <c r="L172" s="8"/>
      <c r="M172" s="8"/>
      <c r="N172" s="8"/>
      <c r="O172" s="8" t="str">
        <v/>
      </c>
      <c r="P172" s="8"/>
      <c r="Q172" s="8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thickBot="1" x14ac:dyDescent="0.4">
      <c r="A173" s="17">
        <v>49</v>
      </c>
      <c r="B173" s="12" t="s">
        <v>33</v>
      </c>
      <c r="C173" s="7" t="s">
        <v>4</v>
      </c>
      <c r="D173" s="4" t="s">
        <v>6</v>
      </c>
      <c r="E173" s="7" t="s">
        <v>19</v>
      </c>
      <c r="F173" s="4">
        <v>78</v>
      </c>
      <c r="G173" s="4">
        <v>2</v>
      </c>
      <c r="H173" s="4">
        <v>0.42099999999999999</v>
      </c>
      <c r="I173" s="8"/>
      <c r="J173" s="8"/>
      <c r="K173" s="8" t="str">
        <v/>
      </c>
      <c r="L173" s="8"/>
      <c r="M173" s="8"/>
      <c r="N173" s="8"/>
      <c r="O173" s="8" t="str">
        <v/>
      </c>
      <c r="P173" s="8"/>
      <c r="Q173" s="8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thickBot="1" x14ac:dyDescent="0.4">
      <c r="A174" s="4">
        <v>51</v>
      </c>
      <c r="B174" s="12" t="s">
        <v>34</v>
      </c>
      <c r="C174" s="7" t="s">
        <v>4</v>
      </c>
      <c r="D174" s="4" t="s">
        <v>2</v>
      </c>
      <c r="E174" s="7" t="s">
        <v>9</v>
      </c>
      <c r="F174" s="4">
        <v>32</v>
      </c>
      <c r="G174" s="4">
        <v>2.1</v>
      </c>
      <c r="H174" s="4">
        <v>1.6</v>
      </c>
      <c r="I174" s="8"/>
      <c r="J174" s="8"/>
      <c r="K174" s="8" t="str">
        <v/>
      </c>
      <c r="L174" s="8"/>
      <c r="M174" s="8"/>
      <c r="N174" s="8"/>
      <c r="O174" s="8" t="str">
        <v/>
      </c>
      <c r="P174" s="8"/>
      <c r="Q174" s="8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thickBot="1" x14ac:dyDescent="0.4">
      <c r="A175" s="4">
        <v>51</v>
      </c>
      <c r="B175" s="12" t="s">
        <v>34</v>
      </c>
      <c r="C175" s="7" t="s">
        <v>4</v>
      </c>
      <c r="D175" s="4" t="s">
        <v>6</v>
      </c>
      <c r="E175" s="7" t="s">
        <v>8</v>
      </c>
      <c r="F175" s="4">
        <v>32</v>
      </c>
      <c r="G175" s="4">
        <v>4</v>
      </c>
      <c r="H175" s="4">
        <v>0.90900000000000003</v>
      </c>
      <c r="I175" s="8"/>
      <c r="J175" s="8"/>
      <c r="K175" s="8" t="str">
        <v/>
      </c>
      <c r="L175" s="8"/>
      <c r="M175" s="8"/>
      <c r="N175" s="8"/>
      <c r="O175" s="8" t="str">
        <v/>
      </c>
      <c r="P175" s="8"/>
      <c r="Q175" s="8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thickBot="1" x14ac:dyDescent="0.4">
      <c r="A176" s="4">
        <v>51</v>
      </c>
      <c r="B176" s="12" t="s">
        <v>34</v>
      </c>
      <c r="C176" s="7" t="s">
        <v>4</v>
      </c>
      <c r="D176" s="4" t="s">
        <v>6</v>
      </c>
      <c r="E176" s="7" t="s">
        <v>7</v>
      </c>
      <c r="F176" s="4">
        <v>32</v>
      </c>
      <c r="G176" s="4">
        <v>6</v>
      </c>
      <c r="H176" s="4">
        <v>1.4139999999999999</v>
      </c>
      <c r="I176" s="8"/>
      <c r="J176" s="8"/>
      <c r="K176" s="8" t="str">
        <v/>
      </c>
      <c r="L176" s="8"/>
      <c r="M176" s="8"/>
      <c r="N176" s="8"/>
      <c r="O176" s="8" t="str">
        <v/>
      </c>
      <c r="P176" s="8"/>
      <c r="Q176" s="8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thickBot="1" x14ac:dyDescent="0.4">
      <c r="A177" s="4">
        <v>51</v>
      </c>
      <c r="B177" s="12" t="s">
        <v>34</v>
      </c>
      <c r="C177" s="7" t="s">
        <v>4</v>
      </c>
      <c r="D177" s="4" t="s">
        <v>2</v>
      </c>
      <c r="E177" s="7" t="s">
        <v>26</v>
      </c>
      <c r="F177" s="4">
        <v>32</v>
      </c>
      <c r="G177" s="4">
        <v>87.5</v>
      </c>
      <c r="H177" s="4">
        <v>3.2</v>
      </c>
      <c r="I177" s="8"/>
      <c r="J177" s="8"/>
      <c r="K177" s="8" t="str">
        <v/>
      </c>
      <c r="L177" s="8"/>
      <c r="M177" s="8"/>
      <c r="N177" s="8"/>
      <c r="O177" s="8" t="str">
        <v/>
      </c>
      <c r="P177" s="8"/>
      <c r="Q177" s="8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thickBot="1" x14ac:dyDescent="0.4">
      <c r="A178" s="4">
        <v>51</v>
      </c>
      <c r="B178" s="12" t="s">
        <v>34</v>
      </c>
      <c r="C178" s="7" t="s">
        <v>4</v>
      </c>
      <c r="D178" s="4" t="s">
        <v>2</v>
      </c>
      <c r="E178" s="7" t="s">
        <v>3</v>
      </c>
      <c r="F178" s="4">
        <v>32</v>
      </c>
      <c r="G178" s="4">
        <v>7.3</v>
      </c>
      <c r="H178" s="4">
        <v>1.3</v>
      </c>
      <c r="I178" s="8"/>
      <c r="J178" s="8"/>
      <c r="K178" s="8" t="str">
        <v/>
      </c>
      <c r="L178" s="8"/>
      <c r="M178" s="8"/>
      <c r="N178" s="8"/>
      <c r="O178" s="8" t="str">
        <v/>
      </c>
      <c r="P178" s="8"/>
      <c r="Q178" s="8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thickBot="1" x14ac:dyDescent="0.4">
      <c r="A179" s="4">
        <v>51</v>
      </c>
      <c r="B179" s="12" t="s">
        <v>34</v>
      </c>
      <c r="C179" s="7" t="s">
        <v>4</v>
      </c>
      <c r="D179" s="4" t="s">
        <v>2</v>
      </c>
      <c r="E179" s="7" t="s">
        <v>11</v>
      </c>
      <c r="F179" s="4">
        <v>32</v>
      </c>
      <c r="G179" s="4">
        <v>91.3</v>
      </c>
      <c r="H179" s="4">
        <v>11.5</v>
      </c>
      <c r="I179" s="8"/>
      <c r="J179" s="8"/>
      <c r="K179" s="8" t="str">
        <v/>
      </c>
      <c r="L179" s="8"/>
      <c r="M179" s="8"/>
      <c r="N179" s="8"/>
      <c r="O179" s="8" t="str">
        <v/>
      </c>
      <c r="P179" s="8"/>
      <c r="Q179" s="8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thickBot="1" x14ac:dyDescent="0.4">
      <c r="A180" s="4">
        <v>51</v>
      </c>
      <c r="B180" s="12" t="s">
        <v>34</v>
      </c>
      <c r="C180" s="7" t="s">
        <v>55</v>
      </c>
      <c r="D180" s="4" t="s">
        <v>2</v>
      </c>
      <c r="E180" s="7" t="s">
        <v>9</v>
      </c>
      <c r="F180" s="4">
        <v>32</v>
      </c>
      <c r="G180" s="4">
        <v>3.5</v>
      </c>
      <c r="H180" s="4">
        <v>1.2</v>
      </c>
      <c r="I180" s="8"/>
      <c r="J180" s="8"/>
      <c r="K180" s="8" t="str">
        <v/>
      </c>
      <c r="L180" s="8"/>
      <c r="M180" s="8"/>
      <c r="N180" s="8"/>
      <c r="O180" s="8" t="str">
        <v/>
      </c>
      <c r="P180" s="8"/>
      <c r="Q180" s="8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thickBot="1" x14ac:dyDescent="0.4">
      <c r="A181" s="4">
        <v>51</v>
      </c>
      <c r="B181" s="12" t="s">
        <v>34</v>
      </c>
      <c r="C181" s="7" t="s">
        <v>55</v>
      </c>
      <c r="D181" s="4" t="s">
        <v>6</v>
      </c>
      <c r="E181" s="7" t="s">
        <v>8</v>
      </c>
      <c r="F181" s="4">
        <v>32</v>
      </c>
      <c r="G181" s="4">
        <v>9</v>
      </c>
      <c r="H181" s="4">
        <v>2.3370000000000002</v>
      </c>
      <c r="I181" s="8"/>
      <c r="J181" s="8"/>
      <c r="K181" s="8" t="str">
        <v/>
      </c>
      <c r="L181" s="8"/>
      <c r="M181" s="8"/>
      <c r="N181" s="8"/>
      <c r="O181" s="8" t="str">
        <v/>
      </c>
      <c r="P181" s="8"/>
      <c r="Q181" s="8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thickBot="1" x14ac:dyDescent="0.4">
      <c r="A182" s="4">
        <v>51</v>
      </c>
      <c r="B182" s="12" t="s">
        <v>34</v>
      </c>
      <c r="C182" s="7" t="s">
        <v>55</v>
      </c>
      <c r="D182" s="4" t="s">
        <v>6</v>
      </c>
      <c r="E182" s="7" t="s">
        <v>7</v>
      </c>
      <c r="F182" s="4">
        <v>32</v>
      </c>
      <c r="G182" s="4">
        <v>13</v>
      </c>
      <c r="H182" s="4">
        <v>4.0190000000000001</v>
      </c>
      <c r="I182" s="8"/>
      <c r="J182" s="8"/>
      <c r="K182" s="8" t="str">
        <v/>
      </c>
      <c r="L182" s="8"/>
      <c r="M182" s="8"/>
      <c r="N182" s="8"/>
      <c r="O182" s="8" t="str">
        <v/>
      </c>
      <c r="P182" s="8"/>
      <c r="Q182" s="8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thickBot="1" x14ac:dyDescent="0.4">
      <c r="A183" s="4">
        <v>51</v>
      </c>
      <c r="B183" s="12" t="s">
        <v>34</v>
      </c>
      <c r="C183" s="7" t="s">
        <v>55</v>
      </c>
      <c r="D183" s="4" t="s">
        <v>2</v>
      </c>
      <c r="E183" s="7" t="s">
        <v>26</v>
      </c>
      <c r="F183" s="4">
        <v>32</v>
      </c>
      <c r="G183" s="4">
        <v>83.8</v>
      </c>
      <c r="H183" s="4">
        <v>6.9</v>
      </c>
      <c r="I183" s="8"/>
      <c r="J183" s="8"/>
      <c r="K183" s="8" t="str">
        <v/>
      </c>
      <c r="L183" s="8"/>
      <c r="M183" s="8"/>
      <c r="N183" s="8"/>
      <c r="O183" s="8" t="str">
        <v/>
      </c>
      <c r="P183" s="8"/>
      <c r="Q183" s="8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thickBot="1" x14ac:dyDescent="0.4">
      <c r="A184" s="4">
        <v>51</v>
      </c>
      <c r="B184" s="12" t="s">
        <v>34</v>
      </c>
      <c r="C184" s="7" t="s">
        <v>55</v>
      </c>
      <c r="D184" s="4" t="s">
        <v>2</v>
      </c>
      <c r="E184" s="7" t="s">
        <v>3</v>
      </c>
      <c r="F184" s="4">
        <v>32</v>
      </c>
      <c r="G184" s="4">
        <v>7</v>
      </c>
      <c r="H184" s="4">
        <v>2.1</v>
      </c>
      <c r="I184" s="8"/>
      <c r="J184" s="8"/>
      <c r="K184" s="8" t="str">
        <v/>
      </c>
      <c r="L184" s="8"/>
      <c r="M184" s="8"/>
      <c r="N184" s="8"/>
      <c r="O184" s="8" t="str">
        <v/>
      </c>
      <c r="P184" s="8"/>
      <c r="Q184" s="8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thickBot="1" x14ac:dyDescent="0.4">
      <c r="A185" s="4">
        <v>51</v>
      </c>
      <c r="B185" s="12" t="s">
        <v>34</v>
      </c>
      <c r="C185" s="7" t="s">
        <v>55</v>
      </c>
      <c r="D185" s="4" t="s">
        <v>2</v>
      </c>
      <c r="E185" s="7" t="s">
        <v>11</v>
      </c>
      <c r="F185" s="4">
        <v>32</v>
      </c>
      <c r="G185" s="4">
        <v>88.7</v>
      </c>
      <c r="H185" s="4">
        <v>8.6</v>
      </c>
      <c r="I185" s="8"/>
      <c r="J185" s="8"/>
      <c r="K185" s="8" t="str">
        <v/>
      </c>
      <c r="L185" s="8"/>
      <c r="M185" s="8"/>
      <c r="N185" s="8"/>
      <c r="O185" s="8" t="str">
        <v/>
      </c>
      <c r="P185" s="8"/>
      <c r="Q185" s="8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thickBot="1" x14ac:dyDescent="0.4">
      <c r="A186" s="4">
        <v>52</v>
      </c>
      <c r="B186" s="12" t="s">
        <v>63</v>
      </c>
      <c r="C186" s="7" t="s">
        <v>1</v>
      </c>
      <c r="D186" s="4" t="s">
        <v>2</v>
      </c>
      <c r="E186" s="7" t="s">
        <v>3</v>
      </c>
      <c r="F186" s="4">
        <v>30</v>
      </c>
      <c r="G186" s="4">
        <v>5</v>
      </c>
      <c r="H186" s="4">
        <v>1.7150000000000001</v>
      </c>
      <c r="I186" s="4">
        <v>0</v>
      </c>
      <c r="J186" s="4">
        <v>7</v>
      </c>
      <c r="K186" s="4">
        <v>7</v>
      </c>
      <c r="L186" s="8"/>
      <c r="M186" s="8"/>
      <c r="N186" s="8"/>
      <c r="O186" s="8" t="str">
        <v/>
      </c>
      <c r="P186" s="8"/>
      <c r="Q186" s="8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thickBot="1" x14ac:dyDescent="0.4">
      <c r="A187" s="4">
        <v>52</v>
      </c>
      <c r="B187" s="12" t="s">
        <v>63</v>
      </c>
      <c r="C187" s="7" t="s">
        <v>1</v>
      </c>
      <c r="D187" s="4" t="s">
        <v>2</v>
      </c>
      <c r="E187" s="7" t="s">
        <v>11</v>
      </c>
      <c r="F187" s="4">
        <v>30</v>
      </c>
      <c r="G187" s="4">
        <v>81</v>
      </c>
      <c r="H187" s="4">
        <v>18.38</v>
      </c>
      <c r="I187" s="4">
        <v>25</v>
      </c>
      <c r="J187" s="4">
        <v>100</v>
      </c>
      <c r="K187" s="4">
        <v>75</v>
      </c>
      <c r="L187" s="8"/>
      <c r="M187" s="8"/>
      <c r="N187" s="8"/>
      <c r="O187" s="8" t="str">
        <v/>
      </c>
      <c r="P187" s="8"/>
      <c r="Q187" s="8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thickBot="1" x14ac:dyDescent="0.4">
      <c r="A188" s="4">
        <v>52</v>
      </c>
      <c r="B188" s="12" t="s">
        <v>63</v>
      </c>
      <c r="C188" s="7" t="s">
        <v>1</v>
      </c>
      <c r="D188" s="4" t="s">
        <v>2</v>
      </c>
      <c r="E188" s="7" t="s">
        <v>9</v>
      </c>
      <c r="F188" s="4">
        <v>30</v>
      </c>
      <c r="G188" s="4">
        <v>2.2999999999999998</v>
      </c>
      <c r="H188" s="4">
        <v>3.0630000000000002</v>
      </c>
      <c r="I188" s="4">
        <v>-3.5</v>
      </c>
      <c r="J188" s="4">
        <v>9</v>
      </c>
      <c r="K188" s="4">
        <v>12.5</v>
      </c>
      <c r="L188" s="8"/>
      <c r="M188" s="8"/>
      <c r="N188" s="8"/>
      <c r="O188" s="8" t="str">
        <v/>
      </c>
      <c r="P188" s="8"/>
      <c r="Q188" s="8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thickBot="1" x14ac:dyDescent="0.4">
      <c r="A189" s="4">
        <v>52</v>
      </c>
      <c r="B189" s="12" t="s">
        <v>63</v>
      </c>
      <c r="C189" s="7" t="s">
        <v>1</v>
      </c>
      <c r="D189" s="4" t="s">
        <v>6</v>
      </c>
      <c r="E189" s="7" t="s">
        <v>7</v>
      </c>
      <c r="F189" s="4">
        <v>30</v>
      </c>
      <c r="G189" s="4">
        <v>22</v>
      </c>
      <c r="H189" s="4">
        <v>15.404999999999999</v>
      </c>
      <c r="I189" s="8"/>
      <c r="J189" s="8"/>
      <c r="K189" s="8" t="str">
        <v/>
      </c>
      <c r="L189" s="8"/>
      <c r="M189" s="8"/>
      <c r="N189" s="8"/>
      <c r="O189" s="8" t="str">
        <v/>
      </c>
      <c r="P189" s="8"/>
      <c r="Q189" s="8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thickBot="1" x14ac:dyDescent="0.4">
      <c r="A190" s="4">
        <v>52</v>
      </c>
      <c r="B190" s="12" t="s">
        <v>63</v>
      </c>
      <c r="C190" s="7" t="s">
        <v>4</v>
      </c>
      <c r="D190" s="4" t="s">
        <v>2</v>
      </c>
      <c r="E190" s="7" t="s">
        <v>3</v>
      </c>
      <c r="F190" s="4">
        <v>32</v>
      </c>
      <c r="G190" s="4">
        <v>6</v>
      </c>
      <c r="H190" s="4">
        <v>1.6930000000000001</v>
      </c>
      <c r="I190" s="4">
        <v>2</v>
      </c>
      <c r="J190" s="4">
        <v>9</v>
      </c>
      <c r="K190" s="4">
        <v>7</v>
      </c>
      <c r="L190" s="8"/>
      <c r="M190" s="8"/>
      <c r="N190" s="8"/>
      <c r="O190" s="8" t="str">
        <v/>
      </c>
      <c r="P190" s="8"/>
      <c r="Q190" s="8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thickBot="1" x14ac:dyDescent="0.4">
      <c r="A191" s="4">
        <v>52</v>
      </c>
      <c r="B191" s="12" t="s">
        <v>63</v>
      </c>
      <c r="C191" s="7" t="s">
        <v>4</v>
      </c>
      <c r="D191" s="4" t="s">
        <v>2</v>
      </c>
      <c r="E191" s="7" t="s">
        <v>11</v>
      </c>
      <c r="F191" s="4">
        <v>32</v>
      </c>
      <c r="G191" s="4">
        <v>90</v>
      </c>
      <c r="H191" s="4">
        <v>12.096</v>
      </c>
      <c r="I191" s="4">
        <v>50</v>
      </c>
      <c r="J191" s="4">
        <v>100</v>
      </c>
      <c r="K191" s="4">
        <v>50</v>
      </c>
      <c r="L191" s="8"/>
      <c r="M191" s="8"/>
      <c r="N191" s="8"/>
      <c r="O191" s="8" t="str">
        <v/>
      </c>
      <c r="P191" s="8"/>
      <c r="Q191" s="8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thickBot="1" x14ac:dyDescent="0.4">
      <c r="A192" s="4">
        <v>52</v>
      </c>
      <c r="B192" s="12" t="s">
        <v>63</v>
      </c>
      <c r="C192" s="7" t="s">
        <v>4</v>
      </c>
      <c r="D192" s="4" t="s">
        <v>2</v>
      </c>
      <c r="E192" s="7" t="s">
        <v>9</v>
      </c>
      <c r="F192" s="4">
        <v>32</v>
      </c>
      <c r="G192" s="4">
        <v>2.7</v>
      </c>
      <c r="H192" s="4">
        <v>3.387</v>
      </c>
      <c r="I192" s="4">
        <v>-4.5</v>
      </c>
      <c r="J192" s="4">
        <v>9.5</v>
      </c>
      <c r="K192" s="4">
        <v>14</v>
      </c>
      <c r="L192" s="8"/>
      <c r="M192" s="8"/>
      <c r="N192" s="8"/>
      <c r="O192" s="8" t="str">
        <v/>
      </c>
      <c r="P192" s="8"/>
      <c r="Q192" s="8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thickBot="1" x14ac:dyDescent="0.4">
      <c r="A193" s="4">
        <v>52</v>
      </c>
      <c r="B193" s="12" t="s">
        <v>63</v>
      </c>
      <c r="C193" s="7" t="s">
        <v>4</v>
      </c>
      <c r="D193" s="4" t="s">
        <v>6</v>
      </c>
      <c r="E193" s="7" t="s">
        <v>7</v>
      </c>
      <c r="F193" s="4">
        <v>32</v>
      </c>
      <c r="G193" s="4">
        <v>25</v>
      </c>
      <c r="H193" s="4">
        <v>20.606999999999999</v>
      </c>
      <c r="I193" s="8"/>
      <c r="J193" s="8"/>
      <c r="K193" s="8" t="str">
        <v/>
      </c>
      <c r="L193" s="8"/>
      <c r="M193" s="8"/>
      <c r="N193" s="8"/>
      <c r="O193" s="8" t="str">
        <v/>
      </c>
      <c r="P193" s="8"/>
      <c r="Q193" s="8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thickBot="1" x14ac:dyDescent="0.4">
      <c r="A194" s="4">
        <v>53</v>
      </c>
      <c r="B194" s="12" t="s">
        <v>64</v>
      </c>
      <c r="C194" s="7" t="s">
        <v>4</v>
      </c>
      <c r="D194" s="4" t="s">
        <v>2</v>
      </c>
      <c r="E194" s="7" t="s">
        <v>26</v>
      </c>
      <c r="F194" s="4">
        <v>49</v>
      </c>
      <c r="G194" s="4">
        <v>78</v>
      </c>
      <c r="H194" s="4">
        <v>18</v>
      </c>
      <c r="I194" s="8"/>
      <c r="J194" s="8"/>
      <c r="K194" s="8" t="str">
        <v/>
      </c>
      <c r="L194" s="8"/>
      <c r="M194" s="8"/>
      <c r="N194" s="8"/>
      <c r="O194" s="8" t="str">
        <v/>
      </c>
      <c r="P194" s="8"/>
      <c r="Q194" s="8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thickBot="1" x14ac:dyDescent="0.4">
      <c r="A195" s="4">
        <v>53</v>
      </c>
      <c r="B195" s="12" t="s">
        <v>64</v>
      </c>
      <c r="C195" s="7" t="s">
        <v>4</v>
      </c>
      <c r="D195" s="4" t="s">
        <v>2</v>
      </c>
      <c r="E195" s="7" t="s">
        <v>3</v>
      </c>
      <c r="F195" s="4">
        <v>49</v>
      </c>
      <c r="G195" s="4">
        <v>5.9</v>
      </c>
      <c r="H195" s="4">
        <v>1.3</v>
      </c>
      <c r="I195" s="8"/>
      <c r="J195" s="8"/>
      <c r="K195" s="8" t="str">
        <v/>
      </c>
      <c r="L195" s="8"/>
      <c r="M195" s="8"/>
      <c r="N195" s="8"/>
      <c r="O195" s="8" t="str">
        <v/>
      </c>
      <c r="P195" s="8"/>
      <c r="Q195" s="8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thickBot="1" x14ac:dyDescent="0.4">
      <c r="A196" s="4">
        <v>53</v>
      </c>
      <c r="B196" s="12" t="s">
        <v>64</v>
      </c>
      <c r="C196" s="7" t="s">
        <v>4</v>
      </c>
      <c r="D196" s="4" t="s">
        <v>2</v>
      </c>
      <c r="E196" s="7" t="s">
        <v>9</v>
      </c>
      <c r="F196" s="4">
        <v>49</v>
      </c>
      <c r="G196" s="4">
        <v>1.9</v>
      </c>
      <c r="H196" s="4">
        <v>1.7</v>
      </c>
      <c r="I196" s="8"/>
      <c r="J196" s="8"/>
      <c r="K196" s="8" t="str">
        <v/>
      </c>
      <c r="L196" s="8"/>
      <c r="M196" s="8"/>
      <c r="N196" s="8"/>
      <c r="O196" s="8" t="str">
        <v/>
      </c>
      <c r="P196" s="8"/>
      <c r="Q196" s="8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thickBot="1" x14ac:dyDescent="0.4">
      <c r="A197" s="4">
        <v>53</v>
      </c>
      <c r="B197" s="12" t="s">
        <v>64</v>
      </c>
      <c r="C197" s="7" t="s">
        <v>4</v>
      </c>
      <c r="D197" s="4" t="s">
        <v>6</v>
      </c>
      <c r="E197" s="7" t="s">
        <v>8</v>
      </c>
      <c r="F197" s="4">
        <v>49</v>
      </c>
      <c r="G197" s="4">
        <v>11</v>
      </c>
      <c r="H197" s="4">
        <v>2.1179999999999999</v>
      </c>
      <c r="I197" s="8"/>
      <c r="J197" s="8"/>
      <c r="K197" s="8" t="str">
        <v/>
      </c>
      <c r="L197" s="8"/>
      <c r="M197" s="8"/>
      <c r="N197" s="8"/>
      <c r="O197" s="8" t="str">
        <v/>
      </c>
      <c r="P197" s="8"/>
      <c r="Q197" s="8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thickBot="1" x14ac:dyDescent="0.4">
      <c r="A198" s="4">
        <v>53</v>
      </c>
      <c r="B198" s="12" t="s">
        <v>64</v>
      </c>
      <c r="C198" s="7" t="s">
        <v>31</v>
      </c>
      <c r="D198" s="4" t="s">
        <v>2</v>
      </c>
      <c r="E198" s="7" t="s">
        <v>26</v>
      </c>
      <c r="F198" s="4">
        <v>47</v>
      </c>
      <c r="G198" s="4">
        <v>82</v>
      </c>
      <c r="H198" s="4">
        <v>14</v>
      </c>
      <c r="I198" s="8"/>
      <c r="J198" s="8"/>
      <c r="K198" s="8" t="str">
        <v/>
      </c>
      <c r="L198" s="8"/>
      <c r="M198" s="8"/>
      <c r="N198" s="8"/>
      <c r="O198" s="8" t="str">
        <v/>
      </c>
      <c r="P198" s="8"/>
      <c r="Q198" s="8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thickBot="1" x14ac:dyDescent="0.4">
      <c r="A199" s="4">
        <v>53</v>
      </c>
      <c r="B199" s="12" t="s">
        <v>64</v>
      </c>
      <c r="C199" s="7" t="s">
        <v>31</v>
      </c>
      <c r="D199" s="4" t="s">
        <v>2</v>
      </c>
      <c r="E199" s="7" t="s">
        <v>3</v>
      </c>
      <c r="F199" s="4">
        <v>47</v>
      </c>
      <c r="G199" s="4">
        <v>6</v>
      </c>
      <c r="H199" s="4">
        <v>1.5</v>
      </c>
      <c r="I199" s="8"/>
      <c r="J199" s="8"/>
      <c r="K199" s="8" t="str">
        <v/>
      </c>
      <c r="L199" s="8"/>
      <c r="M199" s="8"/>
      <c r="N199" s="8"/>
      <c r="O199" s="8" t="str">
        <v/>
      </c>
      <c r="P199" s="8"/>
      <c r="Q199" s="8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thickBot="1" x14ac:dyDescent="0.4">
      <c r="A200" s="4">
        <v>53</v>
      </c>
      <c r="B200" s="12" t="s">
        <v>64</v>
      </c>
      <c r="C200" s="7" t="s">
        <v>31</v>
      </c>
      <c r="D200" s="4" t="s">
        <v>2</v>
      </c>
      <c r="E200" s="7" t="s">
        <v>9</v>
      </c>
      <c r="F200" s="4">
        <v>47</v>
      </c>
      <c r="G200" s="4">
        <v>1.8</v>
      </c>
      <c r="H200" s="4">
        <v>1</v>
      </c>
      <c r="I200" s="8"/>
      <c r="J200" s="8"/>
      <c r="K200" s="8" t="str">
        <v/>
      </c>
      <c r="L200" s="8"/>
      <c r="M200" s="8"/>
      <c r="N200" s="8"/>
      <c r="O200" s="8" t="str">
        <v/>
      </c>
      <c r="P200" s="8"/>
      <c r="Q200" s="8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thickBot="1" x14ac:dyDescent="0.4">
      <c r="A201" s="4">
        <v>53</v>
      </c>
      <c r="B201" s="12" t="s">
        <v>64</v>
      </c>
      <c r="C201" s="7" t="s">
        <v>31</v>
      </c>
      <c r="D201" s="4" t="s">
        <v>6</v>
      </c>
      <c r="E201" s="7" t="s">
        <v>8</v>
      </c>
      <c r="F201" s="4">
        <v>47</v>
      </c>
      <c r="G201" s="4">
        <v>8</v>
      </c>
      <c r="H201" s="4">
        <v>1.494</v>
      </c>
      <c r="I201" s="8"/>
      <c r="J201" s="8"/>
      <c r="K201" s="8" t="str">
        <v/>
      </c>
      <c r="L201" s="8"/>
      <c r="M201" s="8"/>
      <c r="N201" s="8"/>
      <c r="O201" s="8" t="str">
        <v/>
      </c>
      <c r="P201" s="8"/>
      <c r="Q201" s="8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thickBot="1" x14ac:dyDescent="0.4">
      <c r="A202" s="4">
        <v>54</v>
      </c>
      <c r="B202" s="12" t="s">
        <v>65</v>
      </c>
      <c r="C202" s="7" t="s">
        <v>1</v>
      </c>
      <c r="D202" s="4" t="s">
        <v>2</v>
      </c>
      <c r="E202" s="7" t="s">
        <v>26</v>
      </c>
      <c r="F202" s="4">
        <v>19</v>
      </c>
      <c r="G202" s="4">
        <v>78.400000000000006</v>
      </c>
      <c r="H202" s="4">
        <v>13.7</v>
      </c>
      <c r="I202" s="8"/>
      <c r="J202" s="8"/>
      <c r="K202" s="8" t="str">
        <v/>
      </c>
      <c r="L202" s="8"/>
      <c r="M202" s="8"/>
      <c r="N202" s="8"/>
      <c r="O202" s="8" t="str">
        <v/>
      </c>
      <c r="P202" s="8"/>
      <c r="Q202" s="8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thickBot="1" x14ac:dyDescent="0.4">
      <c r="A203" s="4">
        <v>54</v>
      </c>
      <c r="B203" s="12" t="s">
        <v>65</v>
      </c>
      <c r="C203" s="7" t="s">
        <v>1</v>
      </c>
      <c r="D203" s="4" t="s">
        <v>2</v>
      </c>
      <c r="E203" s="7" t="s">
        <v>3</v>
      </c>
      <c r="F203" s="4">
        <v>19</v>
      </c>
      <c r="G203" s="4">
        <v>3</v>
      </c>
      <c r="H203" s="4">
        <v>1.0840000000000001</v>
      </c>
      <c r="I203" s="4">
        <v>1</v>
      </c>
      <c r="J203" s="4">
        <v>5</v>
      </c>
      <c r="K203" s="4">
        <v>4</v>
      </c>
      <c r="L203" s="8"/>
      <c r="M203" s="8"/>
      <c r="N203" s="8"/>
      <c r="O203" s="8" t="str">
        <v/>
      </c>
      <c r="P203" s="8"/>
      <c r="Q203" s="8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thickBot="1" x14ac:dyDescent="0.4">
      <c r="A204" s="4">
        <v>54</v>
      </c>
      <c r="B204" s="12" t="s">
        <v>65</v>
      </c>
      <c r="C204" s="7" t="s">
        <v>1</v>
      </c>
      <c r="D204" s="4" t="s">
        <v>2</v>
      </c>
      <c r="E204" s="7" t="s">
        <v>11</v>
      </c>
      <c r="F204" s="4">
        <v>19</v>
      </c>
      <c r="G204" s="4">
        <v>84.8</v>
      </c>
      <c r="H204" s="4">
        <v>10.3</v>
      </c>
      <c r="I204" s="8"/>
      <c r="J204" s="8"/>
      <c r="K204" s="8" t="str">
        <v/>
      </c>
      <c r="L204" s="8"/>
      <c r="M204" s="8"/>
      <c r="N204" s="8"/>
      <c r="O204" s="8" t="str">
        <v/>
      </c>
      <c r="P204" s="8"/>
      <c r="Q204" s="8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thickBot="1" x14ac:dyDescent="0.4">
      <c r="A205" s="4">
        <v>54</v>
      </c>
      <c r="B205" s="12" t="s">
        <v>65</v>
      </c>
      <c r="C205" s="7" t="s">
        <v>1</v>
      </c>
      <c r="D205" s="4" t="s">
        <v>2</v>
      </c>
      <c r="E205" s="7" t="s">
        <v>9</v>
      </c>
      <c r="F205" s="4">
        <v>19</v>
      </c>
      <c r="G205" s="4">
        <v>-0.1</v>
      </c>
      <c r="H205" s="4">
        <v>1.6</v>
      </c>
      <c r="I205" s="8"/>
      <c r="J205" s="8"/>
      <c r="K205" s="8" t="str">
        <v/>
      </c>
      <c r="L205" s="8"/>
      <c r="M205" s="8"/>
      <c r="N205" s="8"/>
      <c r="O205" s="8" t="str">
        <v/>
      </c>
      <c r="P205" s="8"/>
      <c r="Q205" s="8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thickBot="1" x14ac:dyDescent="0.4">
      <c r="A206" s="4">
        <v>54</v>
      </c>
      <c r="B206" s="12" t="s">
        <v>65</v>
      </c>
      <c r="C206" s="7" t="s">
        <v>1</v>
      </c>
      <c r="D206" s="4" t="s">
        <v>6</v>
      </c>
      <c r="E206" s="7" t="s">
        <v>8</v>
      </c>
      <c r="F206" s="4">
        <v>19</v>
      </c>
      <c r="G206" s="4">
        <v>7</v>
      </c>
      <c r="H206" s="4">
        <v>2.7240000000000002</v>
      </c>
      <c r="I206" s="8"/>
      <c r="J206" s="8"/>
      <c r="K206" s="8" t="str">
        <v/>
      </c>
      <c r="L206" s="8"/>
      <c r="M206" s="8"/>
      <c r="N206" s="8"/>
      <c r="O206" s="8" t="str">
        <v/>
      </c>
      <c r="P206" s="8"/>
      <c r="Q206" s="8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thickBot="1" x14ac:dyDescent="0.4">
      <c r="A207" s="4">
        <v>54</v>
      </c>
      <c r="B207" s="12" t="s">
        <v>65</v>
      </c>
      <c r="C207" s="7" t="s">
        <v>1</v>
      </c>
      <c r="D207" s="4" t="s">
        <v>6</v>
      </c>
      <c r="E207" s="7" t="s">
        <v>19</v>
      </c>
      <c r="F207" s="4">
        <v>19</v>
      </c>
      <c r="G207" s="4">
        <v>7</v>
      </c>
      <c r="H207" s="4">
        <v>2.7240000000000002</v>
      </c>
      <c r="I207" s="8"/>
      <c r="J207" s="8"/>
      <c r="K207" s="8" t="str">
        <v/>
      </c>
      <c r="L207" s="8"/>
      <c r="M207" s="8"/>
      <c r="N207" s="8"/>
      <c r="O207" s="8" t="str">
        <v/>
      </c>
      <c r="P207" s="8"/>
      <c r="Q207" s="8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thickBot="1" x14ac:dyDescent="0.4">
      <c r="A208" s="4">
        <v>54</v>
      </c>
      <c r="B208" s="12" t="s">
        <v>65</v>
      </c>
      <c r="C208" s="7" t="s">
        <v>4</v>
      </c>
      <c r="D208" s="4" t="s">
        <v>2</v>
      </c>
      <c r="E208" s="7" t="s">
        <v>26</v>
      </c>
      <c r="F208" s="4">
        <v>20</v>
      </c>
      <c r="G208" s="4">
        <v>81.599999999999994</v>
      </c>
      <c r="H208" s="4">
        <v>11.9</v>
      </c>
      <c r="I208" s="8"/>
      <c r="J208" s="8"/>
      <c r="K208" s="8" t="str">
        <v/>
      </c>
      <c r="L208" s="8"/>
      <c r="M208" s="8"/>
      <c r="N208" s="8"/>
      <c r="O208" s="8" t="str">
        <v/>
      </c>
      <c r="P208" s="8"/>
      <c r="Q208" s="8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thickBot="1" x14ac:dyDescent="0.4">
      <c r="A209" s="4">
        <v>54</v>
      </c>
      <c r="B209" s="12" t="s">
        <v>65</v>
      </c>
      <c r="C209" s="7" t="s">
        <v>4</v>
      </c>
      <c r="D209" s="4" t="s">
        <v>2</v>
      </c>
      <c r="E209" s="7" t="s">
        <v>3</v>
      </c>
      <c r="F209" s="4">
        <v>20</v>
      </c>
      <c r="G209" s="4">
        <v>4</v>
      </c>
      <c r="H209" s="4">
        <v>0.80300000000000005</v>
      </c>
      <c r="I209" s="4">
        <v>3</v>
      </c>
      <c r="J209" s="4">
        <v>6</v>
      </c>
      <c r="K209" s="4">
        <v>3</v>
      </c>
      <c r="L209" s="8"/>
      <c r="M209" s="8"/>
      <c r="N209" s="8"/>
      <c r="O209" s="8" t="str">
        <v/>
      </c>
      <c r="P209" s="8"/>
      <c r="Q209" s="8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thickBot="1" x14ac:dyDescent="0.4">
      <c r="A210" s="4">
        <v>54</v>
      </c>
      <c r="B210" s="12" t="s">
        <v>65</v>
      </c>
      <c r="C210" s="7" t="s">
        <v>4</v>
      </c>
      <c r="D210" s="4" t="s">
        <v>2</v>
      </c>
      <c r="E210" s="7" t="s">
        <v>11</v>
      </c>
      <c r="F210" s="4">
        <v>20</v>
      </c>
      <c r="G210" s="4">
        <v>88.6</v>
      </c>
      <c r="H210" s="4">
        <v>8.3000000000000007</v>
      </c>
      <c r="I210" s="8"/>
      <c r="J210" s="8"/>
      <c r="K210" s="8" t="str">
        <v/>
      </c>
      <c r="L210" s="8"/>
      <c r="M210" s="8"/>
      <c r="N210" s="8"/>
      <c r="O210" s="8" t="str">
        <v/>
      </c>
      <c r="P210" s="8"/>
      <c r="Q210" s="8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thickBot="1" x14ac:dyDescent="0.4">
      <c r="A211" s="4">
        <v>54</v>
      </c>
      <c r="B211" s="12" t="s">
        <v>65</v>
      </c>
      <c r="C211" s="7" t="s">
        <v>4</v>
      </c>
      <c r="D211" s="4" t="s">
        <v>2</v>
      </c>
      <c r="E211" s="7" t="s">
        <v>9</v>
      </c>
      <c r="F211" s="4">
        <v>20</v>
      </c>
      <c r="G211" s="4">
        <v>1.5</v>
      </c>
      <c r="H211" s="4">
        <v>1.2</v>
      </c>
      <c r="I211" s="8"/>
      <c r="J211" s="8"/>
      <c r="K211" s="8" t="str">
        <v/>
      </c>
      <c r="L211" s="8"/>
      <c r="M211" s="8"/>
      <c r="N211" s="8"/>
      <c r="O211" s="8" t="str">
        <v/>
      </c>
      <c r="P211" s="8"/>
      <c r="Q211" s="8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thickBot="1" x14ac:dyDescent="0.4">
      <c r="A212" s="4">
        <v>54</v>
      </c>
      <c r="B212" s="12" t="s">
        <v>65</v>
      </c>
      <c r="C212" s="7" t="s">
        <v>4</v>
      </c>
      <c r="D212" s="4" t="s">
        <v>6</v>
      </c>
      <c r="E212" s="7" t="s">
        <v>8</v>
      </c>
      <c r="F212" s="4">
        <v>20</v>
      </c>
      <c r="G212" s="4">
        <v>5</v>
      </c>
      <c r="H212" s="4">
        <v>1.64</v>
      </c>
      <c r="I212" s="8"/>
      <c r="J212" s="8"/>
      <c r="K212" s="8" t="str">
        <v/>
      </c>
      <c r="L212" s="8"/>
      <c r="M212" s="8"/>
      <c r="N212" s="8"/>
      <c r="O212" s="8" t="str">
        <v/>
      </c>
      <c r="P212" s="8"/>
      <c r="Q212" s="8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thickBot="1" x14ac:dyDescent="0.4">
      <c r="A213" s="4">
        <v>54</v>
      </c>
      <c r="B213" s="12" t="s">
        <v>65</v>
      </c>
      <c r="C213" s="7" t="s">
        <v>4</v>
      </c>
      <c r="D213" s="4" t="s">
        <v>6</v>
      </c>
      <c r="E213" s="7" t="s">
        <v>19</v>
      </c>
      <c r="F213" s="4">
        <v>20</v>
      </c>
      <c r="G213" s="4">
        <v>3</v>
      </c>
      <c r="H213" s="4">
        <v>0.92100000000000004</v>
      </c>
      <c r="I213" s="8"/>
      <c r="J213" s="8"/>
      <c r="K213" s="8" t="str">
        <v/>
      </c>
      <c r="L213" s="8"/>
      <c r="M213" s="8"/>
      <c r="N213" s="8"/>
      <c r="O213" s="8" t="str">
        <v/>
      </c>
      <c r="P213" s="8"/>
      <c r="Q213" s="8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thickBot="1" x14ac:dyDescent="0.4">
      <c r="A214" s="4">
        <v>55</v>
      </c>
      <c r="B214" s="12" t="s">
        <v>36</v>
      </c>
      <c r="C214" s="7" t="s">
        <v>1</v>
      </c>
      <c r="D214" s="4" t="s">
        <v>2</v>
      </c>
      <c r="E214" s="7" t="s">
        <v>26</v>
      </c>
      <c r="F214" s="4">
        <v>14</v>
      </c>
      <c r="G214" s="4">
        <v>71.900000000000006</v>
      </c>
      <c r="H214" s="4">
        <v>15.2</v>
      </c>
      <c r="I214" s="8"/>
      <c r="J214" s="8"/>
      <c r="K214" s="8" t="str">
        <v/>
      </c>
      <c r="L214" s="8"/>
      <c r="M214" s="8"/>
      <c r="N214" s="8"/>
      <c r="O214" s="8" t="str">
        <v/>
      </c>
      <c r="P214" s="8"/>
      <c r="Q214" s="8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thickBot="1" x14ac:dyDescent="0.4">
      <c r="A215" s="4">
        <v>55</v>
      </c>
      <c r="B215" s="12" t="s">
        <v>36</v>
      </c>
      <c r="C215" s="7" t="s">
        <v>1</v>
      </c>
      <c r="D215" s="4" t="s">
        <v>2</v>
      </c>
      <c r="E215" s="7" t="s">
        <v>11</v>
      </c>
      <c r="F215" s="4">
        <v>14</v>
      </c>
      <c r="G215" s="4">
        <v>84</v>
      </c>
      <c r="H215" s="4">
        <v>13.47</v>
      </c>
      <c r="I215" s="4">
        <v>54</v>
      </c>
      <c r="J215" s="4">
        <v>100</v>
      </c>
      <c r="K215" s="4">
        <v>46</v>
      </c>
      <c r="L215" s="8"/>
      <c r="M215" s="8"/>
      <c r="N215" s="8"/>
      <c r="O215" s="8" t="str">
        <v/>
      </c>
      <c r="P215" s="8"/>
      <c r="Q215" s="8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thickBot="1" x14ac:dyDescent="0.4">
      <c r="A216" s="4">
        <v>55</v>
      </c>
      <c r="B216" s="12" t="s">
        <v>36</v>
      </c>
      <c r="C216" s="7" t="s">
        <v>1</v>
      </c>
      <c r="D216" s="4" t="s">
        <v>2</v>
      </c>
      <c r="E216" s="7" t="s">
        <v>9</v>
      </c>
      <c r="F216" s="4">
        <v>14</v>
      </c>
      <c r="G216" s="4">
        <v>3.7</v>
      </c>
      <c r="H216" s="4">
        <v>1.4</v>
      </c>
      <c r="I216" s="8"/>
      <c r="J216" s="8"/>
      <c r="K216" s="8" t="str">
        <v/>
      </c>
      <c r="L216" s="8"/>
      <c r="M216" s="8"/>
      <c r="N216" s="8"/>
      <c r="O216" s="8" t="str">
        <v/>
      </c>
      <c r="P216" s="8"/>
      <c r="Q216" s="8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thickBot="1" x14ac:dyDescent="0.4">
      <c r="A217" s="4">
        <v>55</v>
      </c>
      <c r="B217" s="12" t="s">
        <v>36</v>
      </c>
      <c r="C217" s="7" t="s">
        <v>1</v>
      </c>
      <c r="D217" s="4" t="s">
        <v>6</v>
      </c>
      <c r="E217" s="7" t="s">
        <v>7</v>
      </c>
      <c r="F217" s="4">
        <v>14</v>
      </c>
      <c r="G217" s="4">
        <v>4</v>
      </c>
      <c r="H217" s="4">
        <v>1.6839999999999999</v>
      </c>
      <c r="I217" s="8"/>
      <c r="J217" s="8"/>
      <c r="K217" s="8" t="str">
        <v/>
      </c>
      <c r="L217" s="8"/>
      <c r="M217" s="8"/>
      <c r="N217" s="8"/>
      <c r="O217" s="8" t="str">
        <v/>
      </c>
      <c r="P217" s="8"/>
      <c r="Q217" s="8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thickBot="1" x14ac:dyDescent="0.4">
      <c r="A218" s="4">
        <v>55</v>
      </c>
      <c r="B218" s="12" t="s">
        <v>36</v>
      </c>
      <c r="C218" s="7" t="s">
        <v>4</v>
      </c>
      <c r="D218" s="4" t="s">
        <v>2</v>
      </c>
      <c r="E218" s="7" t="s">
        <v>26</v>
      </c>
      <c r="F218" s="4">
        <v>17</v>
      </c>
      <c r="G218" s="4">
        <v>73.099999999999994</v>
      </c>
      <c r="H218" s="4">
        <v>12.3</v>
      </c>
      <c r="I218" s="8"/>
      <c r="J218" s="8"/>
      <c r="K218" s="8" t="str">
        <v/>
      </c>
      <c r="L218" s="8"/>
      <c r="M218" s="8"/>
      <c r="N218" s="8"/>
      <c r="O218" s="8" t="str">
        <v/>
      </c>
      <c r="P218" s="8"/>
      <c r="Q218" s="8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thickBot="1" x14ac:dyDescent="0.4">
      <c r="A219" s="4">
        <v>55</v>
      </c>
      <c r="B219" s="12" t="s">
        <v>36</v>
      </c>
      <c r="C219" s="7" t="s">
        <v>4</v>
      </c>
      <c r="D219" s="4" t="s">
        <v>2</v>
      </c>
      <c r="E219" s="7" t="s">
        <v>11</v>
      </c>
      <c r="F219" s="4">
        <v>17</v>
      </c>
      <c r="G219" s="4">
        <v>80</v>
      </c>
      <c r="H219" s="4">
        <v>15.589</v>
      </c>
      <c r="I219" s="4">
        <v>43</v>
      </c>
      <c r="J219" s="4">
        <v>99</v>
      </c>
      <c r="K219" s="4">
        <v>56</v>
      </c>
      <c r="L219" s="8"/>
      <c r="M219" s="8"/>
      <c r="N219" s="8"/>
      <c r="O219" s="8" t="str">
        <v/>
      </c>
      <c r="P219" s="8"/>
      <c r="Q219" s="8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thickBot="1" x14ac:dyDescent="0.4">
      <c r="A220" s="4">
        <v>55</v>
      </c>
      <c r="B220" s="12" t="s">
        <v>36</v>
      </c>
      <c r="C220" s="7" t="s">
        <v>4</v>
      </c>
      <c r="D220" s="4" t="s">
        <v>2</v>
      </c>
      <c r="E220" s="7" t="s">
        <v>9</v>
      </c>
      <c r="F220" s="4">
        <v>17</v>
      </c>
      <c r="G220" s="4">
        <v>3.1</v>
      </c>
      <c r="H220" s="4">
        <v>1.6</v>
      </c>
      <c r="I220" s="8"/>
      <c r="J220" s="8"/>
      <c r="K220" s="8" t="str">
        <v/>
      </c>
      <c r="L220" s="8"/>
      <c r="M220" s="8"/>
      <c r="N220" s="8"/>
      <c r="O220" s="8" t="str">
        <v/>
      </c>
      <c r="P220" s="8"/>
      <c r="Q220" s="8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thickBot="1" x14ac:dyDescent="0.4">
      <c r="A221" s="4">
        <v>55</v>
      </c>
      <c r="B221" s="12" t="s">
        <v>36</v>
      </c>
      <c r="C221" s="7" t="s">
        <v>4</v>
      </c>
      <c r="D221" s="4" t="s">
        <v>6</v>
      </c>
      <c r="E221" s="7" t="s">
        <v>7</v>
      </c>
      <c r="F221" s="4">
        <v>17</v>
      </c>
      <c r="G221" s="4">
        <v>3</v>
      </c>
      <c r="H221" s="4">
        <v>1.0309999999999999</v>
      </c>
      <c r="I221" s="8"/>
      <c r="J221" s="8"/>
      <c r="K221" s="8" t="str">
        <v/>
      </c>
      <c r="L221" s="8"/>
      <c r="M221" s="8"/>
      <c r="N221" s="8"/>
      <c r="O221" s="8" t="str">
        <v/>
      </c>
      <c r="P221" s="8"/>
      <c r="Q221" s="8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thickBot="1" x14ac:dyDescent="0.4">
      <c r="A222" s="4">
        <v>56</v>
      </c>
      <c r="B222" s="12" t="s">
        <v>37</v>
      </c>
      <c r="C222" s="7" t="s">
        <v>1</v>
      </c>
      <c r="D222" s="4" t="s">
        <v>2</v>
      </c>
      <c r="E222" s="7" t="s">
        <v>9</v>
      </c>
      <c r="F222" s="4">
        <v>18</v>
      </c>
      <c r="G222" s="4">
        <v>1.1000000000000001</v>
      </c>
      <c r="H222" s="4">
        <v>1.4</v>
      </c>
      <c r="I222" s="8"/>
      <c r="J222" s="8"/>
      <c r="K222" s="8" t="str">
        <v/>
      </c>
      <c r="L222" s="8"/>
      <c r="M222" s="8"/>
      <c r="N222" s="8"/>
      <c r="O222" s="8" t="str">
        <v/>
      </c>
      <c r="P222" s="8"/>
      <c r="Q222" s="8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thickBot="1" x14ac:dyDescent="0.4">
      <c r="A223" s="4">
        <v>56</v>
      </c>
      <c r="B223" s="12" t="s">
        <v>37</v>
      </c>
      <c r="C223" s="7" t="s">
        <v>1</v>
      </c>
      <c r="D223" s="4" t="s">
        <v>6</v>
      </c>
      <c r="E223" s="7" t="s">
        <v>8</v>
      </c>
      <c r="F223" s="4">
        <v>18</v>
      </c>
      <c r="G223" s="4">
        <v>3</v>
      </c>
      <c r="H223" s="4">
        <v>0.99</v>
      </c>
      <c r="I223" s="8"/>
      <c r="J223" s="8"/>
      <c r="K223" s="8" t="str">
        <v/>
      </c>
      <c r="L223" s="8"/>
      <c r="M223" s="8"/>
      <c r="N223" s="8"/>
      <c r="O223" s="8" t="str">
        <v/>
      </c>
      <c r="P223" s="8"/>
      <c r="Q223" s="8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thickBot="1" x14ac:dyDescent="0.4">
      <c r="A224" s="4">
        <v>56</v>
      </c>
      <c r="B224" s="12" t="s">
        <v>37</v>
      </c>
      <c r="C224" s="7" t="s">
        <v>1</v>
      </c>
      <c r="D224" s="4" t="s">
        <v>2</v>
      </c>
      <c r="E224" s="7" t="s">
        <v>26</v>
      </c>
      <c r="F224" s="4">
        <v>18</v>
      </c>
      <c r="G224" s="4">
        <v>75</v>
      </c>
      <c r="H224" s="4">
        <v>13</v>
      </c>
      <c r="I224" s="8"/>
      <c r="J224" s="8"/>
      <c r="K224" s="8" t="str">
        <v/>
      </c>
      <c r="L224" s="8"/>
      <c r="M224" s="8"/>
      <c r="N224" s="8"/>
      <c r="O224" s="8" t="str">
        <v/>
      </c>
      <c r="P224" s="8"/>
      <c r="Q224" s="8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thickBot="1" x14ac:dyDescent="0.4">
      <c r="A225" s="4">
        <v>56</v>
      </c>
      <c r="B225" s="12" t="s">
        <v>37</v>
      </c>
      <c r="C225" s="7" t="s">
        <v>31</v>
      </c>
      <c r="D225" s="4" t="s">
        <v>2</v>
      </c>
      <c r="E225" s="7" t="s">
        <v>9</v>
      </c>
      <c r="F225" s="4">
        <v>21</v>
      </c>
      <c r="G225" s="4">
        <v>0.8</v>
      </c>
      <c r="H225" s="4">
        <v>1.7</v>
      </c>
      <c r="I225" s="8"/>
      <c r="J225" s="8"/>
      <c r="K225" s="8" t="str">
        <v/>
      </c>
      <c r="L225" s="8"/>
      <c r="M225" s="8"/>
      <c r="N225" s="8"/>
      <c r="O225" s="8" t="str">
        <v/>
      </c>
      <c r="P225" s="8"/>
      <c r="Q225" s="8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thickBot="1" x14ac:dyDescent="0.4">
      <c r="A226" s="4">
        <v>56</v>
      </c>
      <c r="B226" s="12" t="s">
        <v>37</v>
      </c>
      <c r="C226" s="7" t="s">
        <v>31</v>
      </c>
      <c r="D226" s="4" t="s">
        <v>6</v>
      </c>
      <c r="E226" s="7" t="s">
        <v>8</v>
      </c>
      <c r="F226" s="4">
        <v>21</v>
      </c>
      <c r="G226" s="4">
        <v>8</v>
      </c>
      <c r="H226" s="4">
        <v>2.996</v>
      </c>
      <c r="I226" s="8"/>
      <c r="J226" s="8"/>
      <c r="K226" s="8" t="str">
        <v/>
      </c>
      <c r="L226" s="8"/>
      <c r="M226" s="8"/>
      <c r="N226" s="8"/>
      <c r="O226" s="8" t="str">
        <v/>
      </c>
      <c r="P226" s="8"/>
      <c r="Q226" s="8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thickBot="1" x14ac:dyDescent="0.4">
      <c r="A227" s="4">
        <v>56</v>
      </c>
      <c r="B227" s="12" t="s">
        <v>37</v>
      </c>
      <c r="C227" s="7" t="s">
        <v>31</v>
      </c>
      <c r="D227" s="4" t="s">
        <v>2</v>
      </c>
      <c r="E227" s="7" t="s">
        <v>26</v>
      </c>
      <c r="F227" s="4">
        <v>21</v>
      </c>
      <c r="G227" s="4">
        <v>76</v>
      </c>
      <c r="H227" s="4">
        <v>16</v>
      </c>
      <c r="I227" s="8"/>
      <c r="J227" s="8"/>
      <c r="K227" s="8" t="str">
        <v/>
      </c>
      <c r="L227" s="8"/>
      <c r="M227" s="8"/>
      <c r="N227" s="8"/>
      <c r="O227" s="8" t="str">
        <v/>
      </c>
      <c r="P227" s="8"/>
      <c r="Q227" s="8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thickBot="1" x14ac:dyDescent="0.4">
      <c r="A228" s="4">
        <v>58</v>
      </c>
      <c r="B228" s="12" t="s">
        <v>66</v>
      </c>
      <c r="C228" s="7" t="s">
        <v>4</v>
      </c>
      <c r="D228" s="4" t="s">
        <v>2</v>
      </c>
      <c r="E228" s="7" t="s">
        <v>26</v>
      </c>
      <c r="F228" s="4">
        <v>25</v>
      </c>
      <c r="G228" s="4">
        <v>78.900000000000006</v>
      </c>
      <c r="H228" s="4">
        <v>7.4</v>
      </c>
      <c r="I228" s="8"/>
      <c r="J228" s="8"/>
      <c r="K228" s="8" t="str">
        <v/>
      </c>
      <c r="L228" s="8"/>
      <c r="M228" s="8"/>
      <c r="N228" s="8"/>
      <c r="O228" s="8" t="str">
        <v/>
      </c>
      <c r="P228" s="8"/>
      <c r="Q228" s="8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thickBot="1" x14ac:dyDescent="0.4">
      <c r="A229" s="4">
        <v>58</v>
      </c>
      <c r="B229" s="12" t="s">
        <v>66</v>
      </c>
      <c r="C229" s="7" t="s">
        <v>4</v>
      </c>
      <c r="D229" s="4" t="s">
        <v>2</v>
      </c>
      <c r="E229" s="7" t="s">
        <v>11</v>
      </c>
      <c r="F229" s="4">
        <v>25</v>
      </c>
      <c r="G229" s="4">
        <v>85.1</v>
      </c>
      <c r="H229" s="4">
        <v>6.4</v>
      </c>
      <c r="I229" s="8"/>
      <c r="J229" s="8"/>
      <c r="K229" s="8" t="str">
        <v/>
      </c>
      <c r="L229" s="8"/>
      <c r="M229" s="8"/>
      <c r="N229" s="8"/>
      <c r="O229" s="8" t="str">
        <v/>
      </c>
      <c r="P229" s="8"/>
      <c r="Q229" s="8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thickBot="1" x14ac:dyDescent="0.4">
      <c r="A230" s="4">
        <v>58</v>
      </c>
      <c r="B230" s="12" t="s">
        <v>66</v>
      </c>
      <c r="C230" s="7" t="s">
        <v>4</v>
      </c>
      <c r="D230" s="4" t="s">
        <v>2</v>
      </c>
      <c r="E230" s="7" t="s">
        <v>3</v>
      </c>
      <c r="F230" s="4">
        <v>25</v>
      </c>
      <c r="G230" s="4">
        <v>5.0999999999999996</v>
      </c>
      <c r="H230" s="4">
        <v>1</v>
      </c>
      <c r="I230" s="8"/>
      <c r="J230" s="8"/>
      <c r="K230" s="8" t="str">
        <v/>
      </c>
      <c r="L230" s="8"/>
      <c r="M230" s="8"/>
      <c r="N230" s="8"/>
      <c r="O230" s="8" t="str">
        <v/>
      </c>
      <c r="P230" s="8"/>
      <c r="Q230" s="8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thickBot="1" x14ac:dyDescent="0.4">
      <c r="A231" s="4">
        <v>58</v>
      </c>
      <c r="B231" s="12" t="s">
        <v>66</v>
      </c>
      <c r="C231" s="7" t="s">
        <v>4</v>
      </c>
      <c r="D231" s="4" t="s">
        <v>6</v>
      </c>
      <c r="E231" s="7" t="s">
        <v>8</v>
      </c>
      <c r="F231" s="4">
        <v>25</v>
      </c>
      <c r="G231" s="4">
        <v>4</v>
      </c>
      <c r="H231" s="4">
        <v>1.071</v>
      </c>
      <c r="I231" s="8"/>
      <c r="J231" s="8"/>
      <c r="K231" s="8" t="str">
        <v/>
      </c>
      <c r="L231" s="8"/>
      <c r="M231" s="8"/>
      <c r="N231" s="8"/>
      <c r="O231" s="8" t="str">
        <v/>
      </c>
      <c r="P231" s="8"/>
      <c r="Q231" s="8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thickBot="1" x14ac:dyDescent="0.4">
      <c r="A232" s="4">
        <v>58</v>
      </c>
      <c r="B232" s="12" t="s">
        <v>66</v>
      </c>
      <c r="C232" s="7" t="s">
        <v>4</v>
      </c>
      <c r="D232" s="4" t="s">
        <v>6</v>
      </c>
      <c r="E232" s="7" t="s">
        <v>7</v>
      </c>
      <c r="F232" s="4">
        <v>25</v>
      </c>
      <c r="G232" s="4">
        <v>3</v>
      </c>
      <c r="H232" s="4">
        <v>0.79500000000000004</v>
      </c>
      <c r="I232" s="8"/>
      <c r="J232" s="8"/>
      <c r="K232" s="8" t="str">
        <v/>
      </c>
      <c r="L232" s="8"/>
      <c r="M232" s="8"/>
      <c r="N232" s="8"/>
      <c r="O232" s="8" t="str">
        <v/>
      </c>
      <c r="P232" s="8"/>
      <c r="Q232" s="8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thickBot="1" x14ac:dyDescent="0.4">
      <c r="A233" s="4">
        <v>58</v>
      </c>
      <c r="B233" s="12" t="s">
        <v>66</v>
      </c>
      <c r="C233" s="7" t="s">
        <v>4</v>
      </c>
      <c r="D233" s="4" t="s">
        <v>2</v>
      </c>
      <c r="E233" s="7" t="s">
        <v>9</v>
      </c>
      <c r="F233" s="4">
        <v>25</v>
      </c>
      <c r="G233" s="4">
        <v>2.1</v>
      </c>
      <c r="H233" s="4">
        <v>1</v>
      </c>
      <c r="I233" s="8"/>
      <c r="J233" s="8"/>
      <c r="K233" s="8" t="str">
        <v/>
      </c>
      <c r="L233" s="8"/>
      <c r="M233" s="8"/>
      <c r="N233" s="8"/>
      <c r="O233" s="8" t="str">
        <v/>
      </c>
      <c r="P233" s="8"/>
      <c r="Q233" s="8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thickBot="1" x14ac:dyDescent="0.4">
      <c r="A234" s="4">
        <v>58</v>
      </c>
      <c r="B234" s="12" t="s">
        <v>66</v>
      </c>
      <c r="C234" s="7" t="s">
        <v>42</v>
      </c>
      <c r="D234" s="4" t="s">
        <v>2</v>
      </c>
      <c r="E234" s="7" t="s">
        <v>26</v>
      </c>
      <c r="F234" s="4">
        <v>25</v>
      </c>
      <c r="G234" s="4">
        <v>82.6</v>
      </c>
      <c r="H234" s="4">
        <v>6.3</v>
      </c>
      <c r="I234" s="8"/>
      <c r="J234" s="8"/>
      <c r="K234" s="8" t="str">
        <v/>
      </c>
      <c r="L234" s="8"/>
      <c r="M234" s="8"/>
      <c r="N234" s="8"/>
      <c r="O234" s="8" t="str">
        <v/>
      </c>
      <c r="P234" s="8"/>
      <c r="Q234" s="8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thickBot="1" x14ac:dyDescent="0.4">
      <c r="A235" s="4">
        <v>58</v>
      </c>
      <c r="B235" s="12" t="s">
        <v>66</v>
      </c>
      <c r="C235" s="7" t="s">
        <v>42</v>
      </c>
      <c r="D235" s="4" t="s">
        <v>2</v>
      </c>
      <c r="E235" s="7" t="s">
        <v>11</v>
      </c>
      <c r="F235" s="4">
        <v>25</v>
      </c>
      <c r="G235" s="4">
        <v>89.4</v>
      </c>
      <c r="H235" s="4">
        <v>5.8</v>
      </c>
      <c r="I235" s="8"/>
      <c r="J235" s="8"/>
      <c r="K235" s="8" t="str">
        <v/>
      </c>
      <c r="L235" s="8"/>
      <c r="M235" s="8"/>
      <c r="N235" s="8"/>
      <c r="O235" s="8" t="str">
        <v/>
      </c>
      <c r="P235" s="8"/>
      <c r="Q235" s="8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thickBot="1" x14ac:dyDescent="0.4">
      <c r="A236" s="4">
        <v>58</v>
      </c>
      <c r="B236" s="12" t="s">
        <v>66</v>
      </c>
      <c r="C236" s="7" t="s">
        <v>42</v>
      </c>
      <c r="D236" s="4" t="s">
        <v>2</v>
      </c>
      <c r="E236" s="7" t="s">
        <v>3</v>
      </c>
      <c r="F236" s="4">
        <v>25</v>
      </c>
      <c r="G236" s="4">
        <v>5.6</v>
      </c>
      <c r="H236" s="4">
        <v>0.9</v>
      </c>
      <c r="I236" s="8"/>
      <c r="J236" s="8"/>
      <c r="K236" s="8" t="str">
        <v/>
      </c>
      <c r="L236" s="8"/>
      <c r="M236" s="8"/>
      <c r="N236" s="8"/>
      <c r="O236" s="8" t="str">
        <v/>
      </c>
      <c r="P236" s="8"/>
      <c r="Q236" s="8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thickBot="1" x14ac:dyDescent="0.4">
      <c r="A237" s="4">
        <v>58</v>
      </c>
      <c r="B237" s="12" t="s">
        <v>66</v>
      </c>
      <c r="C237" s="7" t="s">
        <v>42</v>
      </c>
      <c r="D237" s="4" t="s">
        <v>6</v>
      </c>
      <c r="E237" s="7" t="s">
        <v>8</v>
      </c>
      <c r="F237" s="4">
        <v>25</v>
      </c>
      <c r="G237" s="4">
        <v>3</v>
      </c>
      <c r="H237" s="4">
        <v>0.79500000000000004</v>
      </c>
      <c r="I237" s="8"/>
      <c r="J237" s="8"/>
      <c r="K237" s="8" t="str">
        <v/>
      </c>
      <c r="L237" s="8"/>
      <c r="M237" s="8"/>
      <c r="N237" s="8"/>
      <c r="O237" s="8" t="str">
        <v/>
      </c>
      <c r="P237" s="8"/>
      <c r="Q237" s="8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thickBot="1" x14ac:dyDescent="0.4">
      <c r="A238" s="4">
        <v>58</v>
      </c>
      <c r="B238" s="12" t="s">
        <v>66</v>
      </c>
      <c r="C238" s="7" t="s">
        <v>42</v>
      </c>
      <c r="D238" s="4" t="s">
        <v>6</v>
      </c>
      <c r="E238" s="7" t="s">
        <v>7</v>
      </c>
      <c r="F238" s="4">
        <v>25</v>
      </c>
      <c r="G238" s="4">
        <v>2</v>
      </c>
      <c r="H238" s="4">
        <v>0.54300000000000004</v>
      </c>
      <c r="I238" s="8"/>
      <c r="J238" s="8"/>
      <c r="K238" s="8" t="str">
        <v/>
      </c>
      <c r="L238" s="8"/>
      <c r="M238" s="8"/>
      <c r="N238" s="8"/>
      <c r="O238" s="8" t="str">
        <v/>
      </c>
      <c r="P238" s="8"/>
      <c r="Q238" s="8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thickBot="1" x14ac:dyDescent="0.4">
      <c r="A239" s="4">
        <v>58</v>
      </c>
      <c r="B239" s="12" t="s">
        <v>66</v>
      </c>
      <c r="C239" s="7" t="s">
        <v>42</v>
      </c>
      <c r="D239" s="4" t="s">
        <v>2</v>
      </c>
      <c r="E239" s="7" t="s">
        <v>9</v>
      </c>
      <c r="F239" s="4">
        <v>25</v>
      </c>
      <c r="G239" s="4">
        <v>1.8</v>
      </c>
      <c r="H239" s="4">
        <v>0.9</v>
      </c>
      <c r="I239" s="8"/>
      <c r="J239" s="8"/>
      <c r="K239" s="8" t="str">
        <v/>
      </c>
      <c r="L239" s="8"/>
      <c r="M239" s="8"/>
      <c r="N239" s="8"/>
      <c r="O239" s="8" t="str">
        <v/>
      </c>
      <c r="P239" s="8"/>
      <c r="Q239" s="8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thickBot="1" x14ac:dyDescent="0.4">
      <c r="A240" s="4">
        <v>62</v>
      </c>
      <c r="B240" s="12" t="s">
        <v>67</v>
      </c>
      <c r="C240" s="7" t="s">
        <v>1</v>
      </c>
      <c r="D240" s="4" t="s">
        <v>2</v>
      </c>
      <c r="E240" s="7" t="s">
        <v>26</v>
      </c>
      <c r="F240" s="4">
        <v>37</v>
      </c>
      <c r="G240" s="4">
        <v>84.3</v>
      </c>
      <c r="H240" s="4">
        <v>11</v>
      </c>
      <c r="I240" s="8"/>
      <c r="J240" s="8"/>
      <c r="K240" s="8" t="str">
        <v/>
      </c>
      <c r="L240" s="8"/>
      <c r="M240" s="8"/>
      <c r="N240" s="8"/>
      <c r="O240" s="8" t="str">
        <v/>
      </c>
      <c r="P240" s="8"/>
      <c r="Q240" s="8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thickBot="1" x14ac:dyDescent="0.4">
      <c r="A241" s="4">
        <v>62</v>
      </c>
      <c r="B241" s="12" t="s">
        <v>67</v>
      </c>
      <c r="C241" s="7" t="s">
        <v>1</v>
      </c>
      <c r="D241" s="4" t="s">
        <v>2</v>
      </c>
      <c r="E241" s="7" t="s">
        <v>9</v>
      </c>
      <c r="F241" s="4">
        <v>37</v>
      </c>
      <c r="G241" s="4">
        <v>1.2</v>
      </c>
      <c r="H241" s="4">
        <v>2.1</v>
      </c>
      <c r="I241" s="8"/>
      <c r="J241" s="8"/>
      <c r="K241" s="8" t="str">
        <v/>
      </c>
      <c r="L241" s="8"/>
      <c r="M241" s="8"/>
      <c r="N241" s="8"/>
      <c r="O241" s="8" t="str">
        <v/>
      </c>
      <c r="P241" s="8"/>
      <c r="Q241" s="8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thickBot="1" x14ac:dyDescent="0.4">
      <c r="A242" s="4">
        <v>62</v>
      </c>
      <c r="B242" s="12" t="s">
        <v>67</v>
      </c>
      <c r="C242" s="7" t="s">
        <v>4</v>
      </c>
      <c r="D242" s="4" t="s">
        <v>2</v>
      </c>
      <c r="E242" s="7" t="s">
        <v>26</v>
      </c>
      <c r="F242" s="4">
        <v>35</v>
      </c>
      <c r="G242" s="4">
        <v>86.8</v>
      </c>
      <c r="H242" s="4">
        <v>8.3000000000000007</v>
      </c>
      <c r="I242" s="8"/>
      <c r="J242" s="8"/>
      <c r="K242" s="8" t="str">
        <v/>
      </c>
      <c r="L242" s="8"/>
      <c r="M242" s="8"/>
      <c r="N242" s="8"/>
      <c r="O242" s="8" t="str">
        <v/>
      </c>
      <c r="P242" s="8"/>
      <c r="Q242" s="8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thickBot="1" x14ac:dyDescent="0.4">
      <c r="A243" s="4">
        <v>62</v>
      </c>
      <c r="B243" s="12" t="s">
        <v>67</v>
      </c>
      <c r="C243" s="7" t="s">
        <v>4</v>
      </c>
      <c r="D243" s="4" t="s">
        <v>2</v>
      </c>
      <c r="E243" s="7" t="s">
        <v>9</v>
      </c>
      <c r="F243" s="4">
        <v>35</v>
      </c>
      <c r="G243" s="4">
        <v>1.7</v>
      </c>
      <c r="H243" s="4">
        <v>1.4</v>
      </c>
      <c r="I243" s="8"/>
      <c r="J243" s="8"/>
      <c r="K243" s="8" t="str">
        <v/>
      </c>
      <c r="L243" s="8"/>
      <c r="M243" s="8"/>
      <c r="N243" s="8"/>
      <c r="O243" s="8" t="str">
        <v/>
      </c>
      <c r="P243" s="8"/>
      <c r="Q243" s="8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thickBot="1" x14ac:dyDescent="0.4">
      <c r="A244" s="4">
        <v>66</v>
      </c>
      <c r="B244" s="12" t="s">
        <v>38</v>
      </c>
      <c r="C244" s="7" t="s">
        <v>1</v>
      </c>
      <c r="D244" s="4" t="s">
        <v>6</v>
      </c>
      <c r="E244" s="7" t="s">
        <v>19</v>
      </c>
      <c r="F244" s="4">
        <v>110</v>
      </c>
      <c r="G244" s="4">
        <v>19</v>
      </c>
      <c r="H244" s="4">
        <v>2.2469999999999999</v>
      </c>
      <c r="I244" s="8"/>
      <c r="J244" s="8"/>
      <c r="K244" s="8" t="str">
        <v/>
      </c>
      <c r="L244" s="8"/>
      <c r="M244" s="8"/>
      <c r="N244" s="8"/>
      <c r="O244" s="8" t="str">
        <v/>
      </c>
      <c r="P244" s="8"/>
      <c r="Q244" s="8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thickBot="1" x14ac:dyDescent="0.4">
      <c r="A245" s="4">
        <v>66</v>
      </c>
      <c r="B245" s="12" t="s">
        <v>38</v>
      </c>
      <c r="C245" s="7" t="s">
        <v>4</v>
      </c>
      <c r="D245" s="4" t="s">
        <v>6</v>
      </c>
      <c r="E245" s="7" t="s">
        <v>19</v>
      </c>
      <c r="F245" s="4">
        <v>110</v>
      </c>
      <c r="G245" s="4">
        <v>24</v>
      </c>
      <c r="H245" s="4">
        <v>2.988</v>
      </c>
      <c r="I245" s="8"/>
      <c r="J245" s="8"/>
      <c r="K245" s="8" t="str">
        <v/>
      </c>
      <c r="L245" s="8"/>
      <c r="M245" s="8"/>
      <c r="N245" s="8"/>
      <c r="O245" s="8" t="str">
        <v/>
      </c>
      <c r="P245" s="8"/>
      <c r="Q245" s="8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thickBot="1" x14ac:dyDescent="0.4">
      <c r="A246" s="4">
        <v>68</v>
      </c>
      <c r="B246" s="12" t="s">
        <v>40</v>
      </c>
      <c r="C246" s="7" t="s">
        <v>1</v>
      </c>
      <c r="D246" s="4" t="s">
        <v>2</v>
      </c>
      <c r="E246" s="7" t="s">
        <v>26</v>
      </c>
      <c r="F246" s="4">
        <v>6</v>
      </c>
      <c r="G246" s="4">
        <v>92</v>
      </c>
      <c r="H246" s="4">
        <v>7</v>
      </c>
      <c r="I246" s="8"/>
      <c r="J246" s="8"/>
      <c r="K246" s="8" t="str">
        <v/>
      </c>
      <c r="L246" s="8"/>
      <c r="M246" s="8"/>
      <c r="N246" s="8"/>
      <c r="O246" s="8" t="str">
        <v/>
      </c>
      <c r="P246" s="8"/>
      <c r="Q246" s="8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thickBot="1" x14ac:dyDescent="0.4">
      <c r="A247" s="4">
        <v>68</v>
      </c>
      <c r="B247" s="12" t="s">
        <v>40</v>
      </c>
      <c r="C247" s="7" t="s">
        <v>1</v>
      </c>
      <c r="D247" s="4" t="s">
        <v>2</v>
      </c>
      <c r="E247" s="7" t="s">
        <v>11</v>
      </c>
      <c r="F247" s="4">
        <v>6</v>
      </c>
      <c r="G247" s="4">
        <v>96</v>
      </c>
      <c r="H247" s="4">
        <v>3</v>
      </c>
      <c r="I247" s="8"/>
      <c r="J247" s="8"/>
      <c r="K247" s="8" t="str">
        <v/>
      </c>
      <c r="L247" s="8"/>
      <c r="M247" s="8"/>
      <c r="N247" s="8"/>
      <c r="O247" s="8" t="str">
        <v/>
      </c>
      <c r="P247" s="8"/>
      <c r="Q247" s="8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thickBot="1" x14ac:dyDescent="0.4">
      <c r="A248" s="4">
        <v>68</v>
      </c>
      <c r="B248" s="12" t="s">
        <v>40</v>
      </c>
      <c r="C248" s="7" t="s">
        <v>4</v>
      </c>
      <c r="D248" s="4" t="s">
        <v>2</v>
      </c>
      <c r="E248" s="7" t="s">
        <v>26</v>
      </c>
      <c r="F248" s="4">
        <v>6</v>
      </c>
      <c r="G248" s="4">
        <v>90</v>
      </c>
      <c r="H248" s="4">
        <v>10</v>
      </c>
      <c r="I248" s="8"/>
      <c r="J248" s="8"/>
      <c r="K248" s="8" t="str">
        <v/>
      </c>
      <c r="L248" s="8"/>
      <c r="M248" s="8"/>
      <c r="N248" s="8"/>
      <c r="O248" s="8" t="str">
        <v/>
      </c>
      <c r="P248" s="8"/>
      <c r="Q248" s="8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thickBot="1" x14ac:dyDescent="0.4">
      <c r="A249" s="4">
        <v>68</v>
      </c>
      <c r="B249" s="12" t="s">
        <v>40</v>
      </c>
      <c r="C249" s="7" t="s">
        <v>4</v>
      </c>
      <c r="D249" s="4" t="s">
        <v>2</v>
      </c>
      <c r="E249" s="7" t="s">
        <v>11</v>
      </c>
      <c r="F249" s="4">
        <v>6</v>
      </c>
      <c r="G249" s="4">
        <v>95</v>
      </c>
      <c r="H249" s="4">
        <v>5</v>
      </c>
      <c r="I249" s="8"/>
      <c r="J249" s="8"/>
      <c r="K249" s="8" t="str">
        <v/>
      </c>
      <c r="L249" s="8"/>
      <c r="M249" s="8"/>
      <c r="N249" s="8"/>
      <c r="O249" s="8" t="str">
        <v/>
      </c>
      <c r="P249" s="8"/>
      <c r="Q249" s="8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thickBot="1" x14ac:dyDescent="0.4">
      <c r="A250" s="4">
        <v>70</v>
      </c>
      <c r="B250" s="12" t="s">
        <v>41</v>
      </c>
      <c r="C250" s="7" t="s">
        <v>4</v>
      </c>
      <c r="D250" s="4" t="s">
        <v>6</v>
      </c>
      <c r="E250" s="7" t="s">
        <v>7</v>
      </c>
      <c r="F250" s="4">
        <v>33</v>
      </c>
      <c r="G250" s="4">
        <v>6</v>
      </c>
      <c r="H250" s="4">
        <v>1.383</v>
      </c>
      <c r="I250" s="8"/>
      <c r="J250" s="8"/>
      <c r="K250" s="8" t="str">
        <v/>
      </c>
      <c r="L250" s="8"/>
      <c r="M250" s="8"/>
      <c r="N250" s="8"/>
      <c r="O250" s="8" t="str">
        <v/>
      </c>
      <c r="P250" s="8"/>
      <c r="Q250" s="8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thickBot="1" x14ac:dyDescent="0.4">
      <c r="A251" s="4">
        <v>70</v>
      </c>
      <c r="B251" s="12" t="s">
        <v>41</v>
      </c>
      <c r="C251" s="7" t="s">
        <v>4</v>
      </c>
      <c r="D251" s="4" t="s">
        <v>2</v>
      </c>
      <c r="E251" s="7" t="s">
        <v>3</v>
      </c>
      <c r="F251" s="4">
        <v>33</v>
      </c>
      <c r="G251" s="4">
        <v>6</v>
      </c>
      <c r="H251" s="4">
        <v>0.96199999999999997</v>
      </c>
      <c r="I251" s="4">
        <v>5</v>
      </c>
      <c r="J251" s="4">
        <v>9</v>
      </c>
      <c r="K251" s="4">
        <v>4</v>
      </c>
      <c r="L251" s="8"/>
      <c r="M251" s="8"/>
      <c r="N251" s="8"/>
      <c r="O251" s="8" t="str">
        <v/>
      </c>
      <c r="P251" s="8"/>
      <c r="Q251" s="8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thickBot="1" x14ac:dyDescent="0.4">
      <c r="A252" s="4">
        <v>70</v>
      </c>
      <c r="B252" s="12" t="s">
        <v>41</v>
      </c>
      <c r="C252" s="7" t="s">
        <v>4</v>
      </c>
      <c r="D252" s="4" t="s">
        <v>2</v>
      </c>
      <c r="E252" s="7" t="s">
        <v>11</v>
      </c>
      <c r="F252" s="4">
        <v>33</v>
      </c>
      <c r="G252" s="4">
        <v>98</v>
      </c>
      <c r="H252" s="4">
        <v>3.6070000000000002</v>
      </c>
      <c r="I252" s="4">
        <v>85</v>
      </c>
      <c r="J252" s="4">
        <v>100</v>
      </c>
      <c r="K252" s="4">
        <v>15</v>
      </c>
      <c r="L252" s="8"/>
      <c r="M252" s="8"/>
      <c r="N252" s="8"/>
      <c r="O252" s="8" t="str">
        <v/>
      </c>
      <c r="P252" s="8"/>
      <c r="Q252" s="8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thickBot="1" x14ac:dyDescent="0.4">
      <c r="A253" s="4">
        <v>70</v>
      </c>
      <c r="B253" s="12" t="s">
        <v>41</v>
      </c>
      <c r="C253" s="7" t="s">
        <v>4</v>
      </c>
      <c r="D253" s="4" t="s">
        <v>6</v>
      </c>
      <c r="E253" s="7" t="s">
        <v>8</v>
      </c>
      <c r="F253" s="4">
        <v>33</v>
      </c>
      <c r="G253" s="4">
        <v>6</v>
      </c>
      <c r="H253" s="4">
        <v>1.383</v>
      </c>
      <c r="I253" s="8"/>
      <c r="J253" s="8"/>
      <c r="K253" s="8" t="str">
        <v/>
      </c>
      <c r="L253" s="8"/>
      <c r="M253" s="8"/>
      <c r="N253" s="8"/>
      <c r="O253" s="8" t="str">
        <v/>
      </c>
      <c r="P253" s="8"/>
      <c r="Q253" s="8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thickBot="1" x14ac:dyDescent="0.4">
      <c r="A254" s="4">
        <v>70</v>
      </c>
      <c r="B254" s="12" t="s">
        <v>41</v>
      </c>
      <c r="C254" s="7" t="s">
        <v>68</v>
      </c>
      <c r="D254" s="4" t="s">
        <v>6</v>
      </c>
      <c r="E254" s="7" t="s">
        <v>7</v>
      </c>
      <c r="F254" s="4">
        <v>32</v>
      </c>
      <c r="G254" s="4">
        <v>11</v>
      </c>
      <c r="H254" s="4">
        <v>3.0979999999999999</v>
      </c>
      <c r="I254" s="8"/>
      <c r="J254" s="8"/>
      <c r="K254" s="8" t="str">
        <v/>
      </c>
      <c r="L254" s="8"/>
      <c r="M254" s="8"/>
      <c r="N254" s="8"/>
      <c r="O254" s="8" t="str">
        <v/>
      </c>
      <c r="P254" s="8"/>
      <c r="Q254" s="8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thickBot="1" x14ac:dyDescent="0.4">
      <c r="A255" s="4">
        <v>70</v>
      </c>
      <c r="B255" s="12" t="s">
        <v>41</v>
      </c>
      <c r="C255" s="7" t="s">
        <v>68</v>
      </c>
      <c r="D255" s="4" t="s">
        <v>2</v>
      </c>
      <c r="E255" s="7" t="s">
        <v>3</v>
      </c>
      <c r="F255" s="4">
        <v>32</v>
      </c>
      <c r="G255" s="4">
        <v>6</v>
      </c>
      <c r="H255" s="4">
        <v>1.21</v>
      </c>
      <c r="I255" s="4">
        <v>4</v>
      </c>
      <c r="J255" s="4">
        <v>9</v>
      </c>
      <c r="K255" s="4">
        <v>5</v>
      </c>
      <c r="L255" s="8"/>
      <c r="M255" s="8"/>
      <c r="N255" s="8"/>
      <c r="O255" s="8" t="str">
        <v/>
      </c>
      <c r="P255" s="8"/>
      <c r="Q255" s="8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thickBot="1" x14ac:dyDescent="0.4">
      <c r="A256" s="4">
        <v>70</v>
      </c>
      <c r="B256" s="12" t="s">
        <v>41</v>
      </c>
      <c r="C256" s="7" t="s">
        <v>68</v>
      </c>
      <c r="D256" s="4" t="s">
        <v>2</v>
      </c>
      <c r="E256" s="7" t="s">
        <v>11</v>
      </c>
      <c r="F256" s="4">
        <v>32</v>
      </c>
      <c r="G256" s="4">
        <v>99</v>
      </c>
      <c r="H256" s="4">
        <v>3.629</v>
      </c>
      <c r="I256" s="4">
        <v>85</v>
      </c>
      <c r="J256" s="4">
        <v>100</v>
      </c>
      <c r="K256" s="4">
        <v>15</v>
      </c>
      <c r="L256" s="8"/>
      <c r="M256" s="8"/>
      <c r="N256" s="8"/>
      <c r="O256" s="8" t="str">
        <v/>
      </c>
      <c r="P256" s="8"/>
      <c r="Q256" s="8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thickBot="1" x14ac:dyDescent="0.4">
      <c r="A257" s="4">
        <v>70</v>
      </c>
      <c r="B257" s="12" t="s">
        <v>41</v>
      </c>
      <c r="C257" s="7" t="s">
        <v>68</v>
      </c>
      <c r="D257" s="4" t="s">
        <v>6</v>
      </c>
      <c r="E257" s="7" t="s">
        <v>8</v>
      </c>
      <c r="F257" s="4">
        <v>32</v>
      </c>
      <c r="G257" s="4">
        <v>6</v>
      </c>
      <c r="H257" s="4">
        <v>1.4139999999999999</v>
      </c>
      <c r="I257" s="8"/>
      <c r="J257" s="8"/>
      <c r="K257" s="8" t="str">
        <v/>
      </c>
      <c r="L257" s="8"/>
      <c r="M257" s="8"/>
      <c r="N257" s="8"/>
      <c r="O257" s="8" t="str">
        <v/>
      </c>
      <c r="P257" s="8"/>
      <c r="Q257" s="8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thickBot="1" x14ac:dyDescent="0.4">
      <c r="A258" s="4">
        <v>73</v>
      </c>
      <c r="B258" s="12" t="s">
        <v>69</v>
      </c>
      <c r="C258" s="7" t="s">
        <v>1</v>
      </c>
      <c r="D258" s="4" t="s">
        <v>2</v>
      </c>
      <c r="E258" s="7" t="s">
        <v>26</v>
      </c>
      <c r="F258" s="4">
        <v>20</v>
      </c>
      <c r="G258" s="4">
        <v>86.9</v>
      </c>
      <c r="H258" s="4">
        <v>11.7</v>
      </c>
      <c r="I258" s="8"/>
      <c r="J258" s="8"/>
      <c r="K258" s="8" t="str">
        <v/>
      </c>
      <c r="L258" s="8"/>
      <c r="M258" s="8"/>
      <c r="N258" s="8"/>
      <c r="O258" s="8" t="str">
        <v/>
      </c>
      <c r="P258" s="8"/>
      <c r="Q258" s="8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thickBot="1" x14ac:dyDescent="0.4">
      <c r="A259" s="4">
        <v>73</v>
      </c>
      <c r="B259" s="12" t="s">
        <v>69</v>
      </c>
      <c r="C259" s="7" t="s">
        <v>1</v>
      </c>
      <c r="D259" s="4" t="s">
        <v>2</v>
      </c>
      <c r="E259" s="7" t="s">
        <v>11</v>
      </c>
      <c r="F259" s="4">
        <v>20</v>
      </c>
      <c r="G259" s="4">
        <v>87.4</v>
      </c>
      <c r="H259" s="4">
        <v>13.8</v>
      </c>
      <c r="I259" s="8"/>
      <c r="J259" s="8"/>
      <c r="K259" s="8" t="str">
        <v/>
      </c>
      <c r="L259" s="8"/>
      <c r="M259" s="8"/>
      <c r="N259" s="8"/>
      <c r="O259" s="8" t="str">
        <v/>
      </c>
      <c r="P259" s="8"/>
      <c r="Q259" s="8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thickBot="1" x14ac:dyDescent="0.4">
      <c r="A260" s="4">
        <v>73</v>
      </c>
      <c r="B260" s="12" t="s">
        <v>69</v>
      </c>
      <c r="C260" s="7" t="s">
        <v>4</v>
      </c>
      <c r="D260" s="4" t="s">
        <v>2</v>
      </c>
      <c r="E260" s="7" t="s">
        <v>26</v>
      </c>
      <c r="F260" s="4">
        <v>20</v>
      </c>
      <c r="G260" s="4">
        <v>90.97</v>
      </c>
      <c r="H260" s="4">
        <v>5.0999999999999996</v>
      </c>
      <c r="I260" s="8"/>
      <c r="J260" s="8"/>
      <c r="K260" s="8" t="str">
        <v/>
      </c>
      <c r="L260" s="8"/>
      <c r="M260" s="8"/>
      <c r="N260" s="8"/>
      <c r="O260" s="8" t="str">
        <v/>
      </c>
      <c r="P260" s="8"/>
      <c r="Q260" s="8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thickBot="1" x14ac:dyDescent="0.4">
      <c r="A261" s="4">
        <v>73</v>
      </c>
      <c r="B261" s="12" t="s">
        <v>69</v>
      </c>
      <c r="C261" s="7" t="s">
        <v>4</v>
      </c>
      <c r="D261" s="4" t="s">
        <v>2</v>
      </c>
      <c r="E261" s="7" t="s">
        <v>11</v>
      </c>
      <c r="F261" s="4">
        <v>20</v>
      </c>
      <c r="G261" s="4">
        <v>93.17</v>
      </c>
      <c r="H261" s="4">
        <v>10.3</v>
      </c>
      <c r="I261" s="8"/>
      <c r="J261" s="8"/>
      <c r="K261" s="8" t="str">
        <v/>
      </c>
      <c r="L261" s="8"/>
      <c r="M261" s="8"/>
      <c r="N261" s="8"/>
      <c r="O261" s="8" t="str">
        <v/>
      </c>
      <c r="P261" s="8"/>
      <c r="Q261" s="8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thickBot="1" x14ac:dyDescent="0.4">
      <c r="A262" s="4">
        <v>76</v>
      </c>
      <c r="B262" s="12" t="s">
        <v>43</v>
      </c>
      <c r="C262" s="7" t="s">
        <v>1</v>
      </c>
      <c r="D262" s="4" t="s">
        <v>2</v>
      </c>
      <c r="E262" s="7" t="s">
        <v>26</v>
      </c>
      <c r="F262" s="8"/>
      <c r="G262" s="8"/>
      <c r="H262" s="8"/>
      <c r="I262" s="8"/>
      <c r="J262" s="8"/>
      <c r="K262" s="8" t="str">
        <v/>
      </c>
      <c r="L262" s="8"/>
      <c r="M262" s="8"/>
      <c r="N262" s="8"/>
      <c r="O262" s="8" t="str">
        <v/>
      </c>
      <c r="P262" s="8"/>
      <c r="Q262" s="8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thickBot="1" x14ac:dyDescent="0.4">
      <c r="A263" s="4">
        <v>76</v>
      </c>
      <c r="B263" s="12" t="s">
        <v>43</v>
      </c>
      <c r="C263" s="7" t="s">
        <v>1</v>
      </c>
      <c r="D263" s="4" t="s">
        <v>2</v>
      </c>
      <c r="E263" s="7" t="s">
        <v>11</v>
      </c>
      <c r="F263" s="8"/>
      <c r="G263" s="8"/>
      <c r="H263" s="8"/>
      <c r="I263" s="8"/>
      <c r="J263" s="8"/>
      <c r="K263" s="8" t="str">
        <v/>
      </c>
      <c r="L263" s="8"/>
      <c r="M263" s="8"/>
      <c r="N263" s="8"/>
      <c r="O263" s="8" t="str">
        <v/>
      </c>
      <c r="P263" s="8"/>
      <c r="Q263" s="8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thickBot="1" x14ac:dyDescent="0.4">
      <c r="A264" s="4">
        <v>76</v>
      </c>
      <c r="B264" s="12" t="s">
        <v>43</v>
      </c>
      <c r="C264" s="7" t="s">
        <v>1</v>
      </c>
      <c r="D264" s="4" t="s">
        <v>6</v>
      </c>
      <c r="E264" s="7" t="s">
        <v>7</v>
      </c>
      <c r="F264" s="4">
        <v>53</v>
      </c>
      <c r="G264" s="4">
        <v>10</v>
      </c>
      <c r="H264" s="4">
        <v>1.778</v>
      </c>
      <c r="I264" s="8"/>
      <c r="J264" s="8"/>
      <c r="K264" s="8" t="str">
        <v/>
      </c>
      <c r="L264" s="8"/>
      <c r="M264" s="8"/>
      <c r="N264" s="8"/>
      <c r="O264" s="8" t="str">
        <v/>
      </c>
      <c r="P264" s="8"/>
      <c r="Q264" s="8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thickBot="1" x14ac:dyDescent="0.4">
      <c r="A265" s="4">
        <v>76</v>
      </c>
      <c r="B265" s="12" t="s">
        <v>43</v>
      </c>
      <c r="C265" s="7" t="s">
        <v>1</v>
      </c>
      <c r="D265" s="4" t="s">
        <v>6</v>
      </c>
      <c r="E265" s="7" t="s">
        <v>8</v>
      </c>
      <c r="F265" s="4">
        <v>53</v>
      </c>
      <c r="G265" s="4">
        <v>5</v>
      </c>
      <c r="H265" s="4">
        <v>0.83399999999999996</v>
      </c>
      <c r="I265" s="8"/>
      <c r="J265" s="8"/>
      <c r="K265" s="8" t="str">
        <v/>
      </c>
      <c r="L265" s="8"/>
      <c r="M265" s="8"/>
      <c r="N265" s="8"/>
      <c r="O265" s="8" t="str">
        <v/>
      </c>
      <c r="P265" s="8"/>
      <c r="Q265" s="8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thickBot="1" x14ac:dyDescent="0.4">
      <c r="A266" s="4">
        <v>76</v>
      </c>
      <c r="B266" s="12" t="s">
        <v>43</v>
      </c>
      <c r="C266" s="7" t="s">
        <v>1</v>
      </c>
      <c r="D266" s="4" t="s">
        <v>2</v>
      </c>
      <c r="E266" s="7" t="s">
        <v>9</v>
      </c>
      <c r="F266" s="4">
        <v>54</v>
      </c>
      <c r="G266" s="4">
        <v>1.2</v>
      </c>
      <c r="H266" s="4">
        <v>1.6870000000000001</v>
      </c>
      <c r="I266" s="8"/>
      <c r="J266" s="8"/>
      <c r="K266" s="8" t="str">
        <v/>
      </c>
      <c r="L266" s="8"/>
      <c r="M266" s="8"/>
      <c r="N266" s="8"/>
      <c r="O266" s="8" t="str">
        <v/>
      </c>
      <c r="P266" s="8"/>
      <c r="Q266" s="8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thickBot="1" x14ac:dyDescent="0.4">
      <c r="A267" s="4">
        <v>76</v>
      </c>
      <c r="B267" s="12" t="s">
        <v>43</v>
      </c>
      <c r="C267" s="7" t="s">
        <v>1</v>
      </c>
      <c r="D267" s="4" t="s">
        <v>6</v>
      </c>
      <c r="E267" s="7" t="s">
        <v>19</v>
      </c>
      <c r="F267" s="4">
        <v>90</v>
      </c>
      <c r="G267" s="4">
        <v>7</v>
      </c>
      <c r="H267" s="4">
        <v>0.85699999999999998</v>
      </c>
      <c r="I267" s="8"/>
      <c r="J267" s="8"/>
      <c r="K267" s="8" t="str">
        <v/>
      </c>
      <c r="L267" s="8"/>
      <c r="M267" s="8"/>
      <c r="N267" s="8"/>
      <c r="O267" s="8" t="str">
        <v/>
      </c>
      <c r="P267" s="8"/>
      <c r="Q267" s="8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thickBot="1" x14ac:dyDescent="0.4">
      <c r="A268" s="4">
        <v>76</v>
      </c>
      <c r="B268" s="12" t="s">
        <v>43</v>
      </c>
      <c r="C268" s="7" t="s">
        <v>4</v>
      </c>
      <c r="D268" s="4" t="s">
        <v>2</v>
      </c>
      <c r="E268" s="7" t="s">
        <v>26</v>
      </c>
      <c r="F268" s="8"/>
      <c r="G268" s="8"/>
      <c r="H268" s="8"/>
      <c r="I268" s="8"/>
      <c r="J268" s="8"/>
      <c r="K268" s="8" t="str">
        <v/>
      </c>
      <c r="L268" s="8"/>
      <c r="M268" s="8"/>
      <c r="N268" s="8"/>
      <c r="O268" s="8" t="str">
        <v/>
      </c>
      <c r="P268" s="8"/>
      <c r="Q268" s="8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thickBot="1" x14ac:dyDescent="0.4">
      <c r="A269" s="4">
        <v>76</v>
      </c>
      <c r="B269" s="12" t="s">
        <v>43</v>
      </c>
      <c r="C269" s="7" t="s">
        <v>4</v>
      </c>
      <c r="D269" s="4" t="s">
        <v>2</v>
      </c>
      <c r="E269" s="7" t="s">
        <v>11</v>
      </c>
      <c r="F269" s="8"/>
      <c r="G269" s="8"/>
      <c r="H269" s="8"/>
      <c r="I269" s="8"/>
      <c r="J269" s="8"/>
      <c r="K269" s="8" t="str">
        <v/>
      </c>
      <c r="L269" s="8"/>
      <c r="M269" s="8"/>
      <c r="N269" s="8"/>
      <c r="O269" s="8" t="str">
        <v/>
      </c>
      <c r="P269" s="8"/>
      <c r="Q269" s="8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thickBot="1" x14ac:dyDescent="0.4">
      <c r="A270" s="4">
        <v>76</v>
      </c>
      <c r="B270" s="12" t="s">
        <v>43</v>
      </c>
      <c r="C270" s="7" t="s">
        <v>4</v>
      </c>
      <c r="D270" s="4" t="s">
        <v>6</v>
      </c>
      <c r="E270" s="7" t="s">
        <v>7</v>
      </c>
      <c r="F270" s="4">
        <v>58</v>
      </c>
      <c r="G270" s="4">
        <v>12</v>
      </c>
      <c r="H270" s="4">
        <v>2.0699999999999998</v>
      </c>
      <c r="I270" s="8"/>
      <c r="J270" s="8"/>
      <c r="K270" s="8" t="str">
        <v/>
      </c>
      <c r="L270" s="8"/>
      <c r="M270" s="8"/>
      <c r="N270" s="8"/>
      <c r="O270" s="8" t="str">
        <v/>
      </c>
      <c r="P270" s="8"/>
      <c r="Q270" s="8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thickBot="1" x14ac:dyDescent="0.4">
      <c r="A271" s="4">
        <v>76</v>
      </c>
      <c r="B271" s="12" t="s">
        <v>43</v>
      </c>
      <c r="C271" s="7" t="s">
        <v>4</v>
      </c>
      <c r="D271" s="4" t="s">
        <v>6</v>
      </c>
      <c r="E271" s="7" t="s">
        <v>8</v>
      </c>
      <c r="F271" s="4">
        <v>58</v>
      </c>
      <c r="G271" s="4">
        <v>8</v>
      </c>
      <c r="H271" s="4">
        <v>1.2949999999999999</v>
      </c>
      <c r="I271" s="8"/>
      <c r="J271" s="8"/>
      <c r="K271" s="8" t="str">
        <v/>
      </c>
      <c r="L271" s="8"/>
      <c r="M271" s="8"/>
      <c r="N271" s="8"/>
      <c r="O271" s="8" t="str">
        <v/>
      </c>
      <c r="P271" s="8"/>
      <c r="Q271" s="8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thickBot="1" x14ac:dyDescent="0.4">
      <c r="A272" s="4">
        <v>76</v>
      </c>
      <c r="B272" s="12" t="s">
        <v>43</v>
      </c>
      <c r="C272" s="7" t="s">
        <v>4</v>
      </c>
      <c r="D272" s="4" t="s">
        <v>2</v>
      </c>
      <c r="E272" s="7" t="s">
        <v>9</v>
      </c>
      <c r="F272" s="4">
        <v>58</v>
      </c>
      <c r="G272" s="4">
        <v>1.6</v>
      </c>
      <c r="H272" s="4">
        <v>1.554</v>
      </c>
      <c r="I272" s="8"/>
      <c r="J272" s="8"/>
      <c r="K272" s="8" t="str">
        <v/>
      </c>
      <c r="L272" s="8"/>
      <c r="M272" s="8"/>
      <c r="N272" s="8"/>
      <c r="O272" s="8" t="str">
        <v/>
      </c>
      <c r="P272" s="8"/>
      <c r="Q272" s="8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thickBot="1" x14ac:dyDescent="0.4">
      <c r="A273" s="4">
        <v>76</v>
      </c>
      <c r="B273" s="12" t="s">
        <v>43</v>
      </c>
      <c r="C273" s="7" t="s">
        <v>4</v>
      </c>
      <c r="D273" s="4" t="s">
        <v>6</v>
      </c>
      <c r="E273" s="7" t="s">
        <v>19</v>
      </c>
      <c r="F273" s="4">
        <v>90</v>
      </c>
      <c r="G273" s="4">
        <v>12</v>
      </c>
      <c r="H273" s="4">
        <v>1.52</v>
      </c>
      <c r="I273" s="8"/>
      <c r="J273" s="8"/>
      <c r="K273" s="8" t="str">
        <v/>
      </c>
      <c r="L273" s="8"/>
      <c r="M273" s="8"/>
      <c r="N273" s="8"/>
      <c r="O273" s="8" t="str">
        <v/>
      </c>
      <c r="P273" s="8"/>
      <c r="Q273" s="8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thickBot="1" x14ac:dyDescent="0.4">
      <c r="A274" s="4">
        <v>77</v>
      </c>
      <c r="B274" s="12" t="s">
        <v>44</v>
      </c>
      <c r="C274" s="7" t="s">
        <v>1</v>
      </c>
      <c r="D274" s="4" t="s">
        <v>2</v>
      </c>
      <c r="E274" s="7" t="s">
        <v>11</v>
      </c>
      <c r="F274" s="4">
        <v>38</v>
      </c>
      <c r="G274" s="4">
        <v>82</v>
      </c>
      <c r="H274" s="4">
        <v>15.449</v>
      </c>
      <c r="I274" s="4">
        <v>34</v>
      </c>
      <c r="J274" s="4">
        <v>100</v>
      </c>
      <c r="K274" s="4">
        <v>66</v>
      </c>
      <c r="L274" s="8"/>
      <c r="M274" s="8"/>
      <c r="N274" s="8"/>
      <c r="O274" s="8" t="str">
        <v/>
      </c>
      <c r="P274" s="8"/>
      <c r="Q274" s="8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thickBot="1" x14ac:dyDescent="0.4">
      <c r="A275" s="4">
        <v>77</v>
      </c>
      <c r="B275" s="12" t="s">
        <v>44</v>
      </c>
      <c r="C275" s="7" t="s">
        <v>1</v>
      </c>
      <c r="D275" s="4" t="s">
        <v>2</v>
      </c>
      <c r="E275" s="7" t="s">
        <v>3</v>
      </c>
      <c r="F275" s="4">
        <v>38</v>
      </c>
      <c r="G275" s="4">
        <v>4</v>
      </c>
      <c r="H275" s="4">
        <v>1.639</v>
      </c>
      <c r="I275" s="4">
        <v>0</v>
      </c>
      <c r="J275" s="4">
        <v>7</v>
      </c>
      <c r="K275" s="4">
        <v>7</v>
      </c>
      <c r="L275" s="8"/>
      <c r="M275" s="8"/>
      <c r="N275" s="8"/>
      <c r="O275" s="8" t="str">
        <v/>
      </c>
      <c r="P275" s="8"/>
      <c r="Q275" s="8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thickBot="1" x14ac:dyDescent="0.4">
      <c r="A276" s="4">
        <v>77</v>
      </c>
      <c r="B276" s="12" t="s">
        <v>44</v>
      </c>
      <c r="C276" s="7" t="s">
        <v>1</v>
      </c>
      <c r="D276" s="4" t="s">
        <v>2</v>
      </c>
      <c r="E276" s="7" t="s">
        <v>9</v>
      </c>
      <c r="F276" s="4">
        <v>38</v>
      </c>
      <c r="G276" s="4">
        <v>1.3</v>
      </c>
      <c r="H276" s="4">
        <v>2.2000000000000002</v>
      </c>
      <c r="I276" s="4">
        <v>-3</v>
      </c>
      <c r="J276" s="4">
        <v>5</v>
      </c>
      <c r="K276" s="4">
        <v>8</v>
      </c>
      <c r="L276" s="8"/>
      <c r="M276" s="8"/>
      <c r="N276" s="8"/>
      <c r="O276" s="8" t="str">
        <v/>
      </c>
      <c r="P276" s="8"/>
      <c r="Q276" s="8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thickBot="1" x14ac:dyDescent="0.4">
      <c r="A277" s="4">
        <v>77</v>
      </c>
      <c r="B277" s="12" t="s">
        <v>44</v>
      </c>
      <c r="C277" s="7" t="s">
        <v>1</v>
      </c>
      <c r="D277" s="4" t="s">
        <v>6</v>
      </c>
      <c r="E277" s="7" t="s">
        <v>8</v>
      </c>
      <c r="F277" s="4">
        <v>38</v>
      </c>
      <c r="G277" s="4">
        <v>3</v>
      </c>
      <c r="H277" s="4">
        <v>0.61599999999999999</v>
      </c>
      <c r="I277" s="8"/>
      <c r="J277" s="8"/>
      <c r="K277" s="8" t="str">
        <v/>
      </c>
      <c r="L277" s="8"/>
      <c r="M277" s="8"/>
      <c r="N277" s="8"/>
      <c r="O277" s="8" t="str">
        <v/>
      </c>
      <c r="P277" s="8"/>
      <c r="Q277" s="8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thickBot="1" x14ac:dyDescent="0.4">
      <c r="A278" s="4">
        <v>77</v>
      </c>
      <c r="B278" s="12" t="s">
        <v>44</v>
      </c>
      <c r="C278" s="7" t="s">
        <v>1</v>
      </c>
      <c r="D278" s="4" t="s">
        <v>6</v>
      </c>
      <c r="E278" s="7" t="s">
        <v>7</v>
      </c>
      <c r="F278" s="4">
        <v>38</v>
      </c>
      <c r="G278" s="8"/>
      <c r="H278" s="4">
        <v>8.1000000000000003E-2</v>
      </c>
      <c r="I278" s="8"/>
      <c r="J278" s="8"/>
      <c r="K278" s="8" t="str">
        <v/>
      </c>
      <c r="L278" s="8"/>
      <c r="M278" s="8"/>
      <c r="N278" s="8"/>
      <c r="O278" s="8" t="str">
        <v/>
      </c>
      <c r="P278" s="8"/>
      <c r="Q278" s="8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thickBot="1" x14ac:dyDescent="0.4">
      <c r="A279" s="4">
        <v>77</v>
      </c>
      <c r="B279" s="12" t="s">
        <v>44</v>
      </c>
      <c r="C279" s="7" t="s">
        <v>1</v>
      </c>
      <c r="D279" s="4" t="s">
        <v>6</v>
      </c>
      <c r="E279" s="7" t="s">
        <v>19</v>
      </c>
      <c r="F279" s="4">
        <v>38</v>
      </c>
      <c r="G279" s="8"/>
      <c r="H279" s="4">
        <v>8.1000000000000003E-2</v>
      </c>
      <c r="I279" s="8"/>
      <c r="J279" s="8"/>
      <c r="K279" s="8" t="str">
        <v/>
      </c>
      <c r="L279" s="8"/>
      <c r="M279" s="8"/>
      <c r="N279" s="8"/>
      <c r="O279" s="8" t="str">
        <v/>
      </c>
      <c r="P279" s="8"/>
      <c r="Q279" s="8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thickBot="1" x14ac:dyDescent="0.4">
      <c r="A280" s="4">
        <v>77</v>
      </c>
      <c r="B280" s="12" t="s">
        <v>44</v>
      </c>
      <c r="C280" s="7" t="s">
        <v>4</v>
      </c>
      <c r="D280" s="4" t="s">
        <v>2</v>
      </c>
      <c r="E280" s="7" t="s">
        <v>11</v>
      </c>
      <c r="F280" s="4">
        <v>33</v>
      </c>
      <c r="G280" s="4">
        <v>85</v>
      </c>
      <c r="H280" s="4">
        <v>14.669</v>
      </c>
      <c r="I280" s="4">
        <v>39</v>
      </c>
      <c r="J280" s="4">
        <v>100</v>
      </c>
      <c r="K280" s="4">
        <v>61</v>
      </c>
      <c r="L280" s="8"/>
      <c r="M280" s="8"/>
      <c r="N280" s="8"/>
      <c r="O280" s="8" t="str">
        <v/>
      </c>
      <c r="P280" s="8"/>
      <c r="Q280" s="8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thickBot="1" x14ac:dyDescent="0.4">
      <c r="A281" s="4">
        <v>77</v>
      </c>
      <c r="B281" s="12" t="s">
        <v>44</v>
      </c>
      <c r="C281" s="7" t="s">
        <v>4</v>
      </c>
      <c r="D281" s="4" t="s">
        <v>2</v>
      </c>
      <c r="E281" s="7" t="s">
        <v>3</v>
      </c>
      <c r="F281" s="4">
        <v>33</v>
      </c>
      <c r="G281" s="4">
        <v>5</v>
      </c>
      <c r="H281" s="4">
        <v>2.1640000000000001</v>
      </c>
      <c r="I281" s="4">
        <v>0</v>
      </c>
      <c r="J281" s="4">
        <v>9</v>
      </c>
      <c r="K281" s="4">
        <v>9</v>
      </c>
      <c r="L281" s="8"/>
      <c r="M281" s="8"/>
      <c r="N281" s="8"/>
      <c r="O281" s="8" t="str">
        <v/>
      </c>
      <c r="P281" s="8"/>
      <c r="Q281" s="8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thickBot="1" x14ac:dyDescent="0.4">
      <c r="A282" s="4">
        <v>77</v>
      </c>
      <c r="B282" s="12" t="s">
        <v>44</v>
      </c>
      <c r="C282" s="7" t="s">
        <v>4</v>
      </c>
      <c r="D282" s="4" t="s">
        <v>2</v>
      </c>
      <c r="E282" s="7" t="s">
        <v>9</v>
      </c>
      <c r="F282" s="4">
        <v>33</v>
      </c>
      <c r="G282" s="4">
        <v>1.5</v>
      </c>
      <c r="H282" s="4">
        <v>3.3</v>
      </c>
      <c r="I282" s="4">
        <v>-3</v>
      </c>
      <c r="J282" s="4">
        <v>12</v>
      </c>
      <c r="K282" s="4">
        <v>15</v>
      </c>
      <c r="L282" s="8"/>
      <c r="M282" s="8"/>
      <c r="N282" s="8"/>
      <c r="O282" s="8" t="str">
        <v/>
      </c>
      <c r="P282" s="8"/>
      <c r="Q282" s="8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thickBot="1" x14ac:dyDescent="0.4">
      <c r="A283" s="4">
        <v>77</v>
      </c>
      <c r="B283" s="12" t="s">
        <v>44</v>
      </c>
      <c r="C283" s="7" t="s">
        <v>4</v>
      </c>
      <c r="D283" s="4" t="s">
        <v>6</v>
      </c>
      <c r="E283" s="7" t="s">
        <v>8</v>
      </c>
      <c r="F283" s="4">
        <v>33</v>
      </c>
      <c r="G283" s="8"/>
      <c r="H283" s="4">
        <v>8.6999999999999994E-2</v>
      </c>
      <c r="I283" s="8"/>
      <c r="J283" s="8"/>
      <c r="K283" s="8" t="str">
        <v/>
      </c>
      <c r="L283" s="8"/>
      <c r="M283" s="8"/>
      <c r="N283" s="8"/>
      <c r="O283" s="8" t="str">
        <v/>
      </c>
      <c r="P283" s="8"/>
      <c r="Q283" s="8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thickBot="1" x14ac:dyDescent="0.4">
      <c r="A284" s="4">
        <v>77</v>
      </c>
      <c r="B284" s="12" t="s">
        <v>44</v>
      </c>
      <c r="C284" s="7" t="s">
        <v>4</v>
      </c>
      <c r="D284" s="4" t="s">
        <v>6</v>
      </c>
      <c r="E284" s="7" t="s">
        <v>7</v>
      </c>
      <c r="F284" s="4">
        <v>33</v>
      </c>
      <c r="G284" s="8"/>
      <c r="H284" s="4">
        <v>8.6999999999999994E-2</v>
      </c>
      <c r="I284" s="8"/>
      <c r="J284" s="8"/>
      <c r="K284" s="8" t="str">
        <v/>
      </c>
      <c r="L284" s="8"/>
      <c r="M284" s="8"/>
      <c r="N284" s="8"/>
      <c r="O284" s="8" t="str">
        <v/>
      </c>
      <c r="P284" s="8"/>
      <c r="Q284" s="8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thickBot="1" x14ac:dyDescent="0.4">
      <c r="A285" s="4">
        <v>77</v>
      </c>
      <c r="B285" s="12" t="s">
        <v>44</v>
      </c>
      <c r="C285" s="7" t="s">
        <v>4</v>
      </c>
      <c r="D285" s="4" t="s">
        <v>6</v>
      </c>
      <c r="E285" s="7" t="s">
        <v>19</v>
      </c>
      <c r="F285" s="4">
        <v>33</v>
      </c>
      <c r="G285" s="8"/>
      <c r="H285" s="4">
        <v>8.6999999999999994E-2</v>
      </c>
      <c r="I285" s="8"/>
      <c r="J285" s="8"/>
      <c r="K285" s="8" t="str">
        <v/>
      </c>
      <c r="L285" s="8"/>
      <c r="M285" s="8"/>
      <c r="N285" s="8"/>
      <c r="O285" s="8" t="str">
        <v/>
      </c>
      <c r="P285" s="8"/>
      <c r="Q285" s="8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thickBot="1" x14ac:dyDescent="0.4">
      <c r="A286" s="4">
        <v>82</v>
      </c>
      <c r="B286" s="12" t="s">
        <v>45</v>
      </c>
      <c r="C286" s="7" t="s">
        <v>1</v>
      </c>
      <c r="D286" s="4" t="s">
        <v>6</v>
      </c>
      <c r="E286" s="7" t="s">
        <v>7</v>
      </c>
      <c r="F286" s="4">
        <v>24</v>
      </c>
      <c r="G286" s="4">
        <v>5</v>
      </c>
      <c r="H286" s="4">
        <v>1.4179999999999999</v>
      </c>
      <c r="I286" s="8"/>
      <c r="J286" s="8"/>
      <c r="K286" s="8" t="str">
        <v/>
      </c>
      <c r="L286" s="8"/>
      <c r="M286" s="8"/>
      <c r="N286" s="8"/>
      <c r="O286" s="8" t="str">
        <v/>
      </c>
      <c r="P286" s="8"/>
      <c r="Q286" s="8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thickBot="1" x14ac:dyDescent="0.4">
      <c r="A287" s="4">
        <v>82</v>
      </c>
      <c r="B287" s="12" t="s">
        <v>45</v>
      </c>
      <c r="C287" s="7" t="s">
        <v>1</v>
      </c>
      <c r="D287" s="4" t="s">
        <v>6</v>
      </c>
      <c r="E287" s="7" t="s">
        <v>8</v>
      </c>
      <c r="F287" s="4">
        <v>24</v>
      </c>
      <c r="G287" s="4">
        <v>6</v>
      </c>
      <c r="H287" s="4">
        <v>1.7689999999999999</v>
      </c>
      <c r="I287" s="8"/>
      <c r="J287" s="8"/>
      <c r="K287" s="8" t="str">
        <v/>
      </c>
      <c r="L287" s="8"/>
      <c r="M287" s="8"/>
      <c r="N287" s="8"/>
      <c r="O287" s="8" t="str">
        <v/>
      </c>
      <c r="P287" s="8"/>
      <c r="Q287" s="8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thickBot="1" x14ac:dyDescent="0.4">
      <c r="A288" s="4">
        <v>82</v>
      </c>
      <c r="B288" s="12" t="s">
        <v>45</v>
      </c>
      <c r="C288" s="7" t="s">
        <v>4</v>
      </c>
      <c r="D288" s="4" t="s">
        <v>6</v>
      </c>
      <c r="E288" s="7" t="s">
        <v>7</v>
      </c>
      <c r="F288" s="4">
        <v>24</v>
      </c>
      <c r="G288" s="4">
        <v>5</v>
      </c>
      <c r="H288" s="4">
        <v>1.4179999999999999</v>
      </c>
      <c r="I288" s="8"/>
      <c r="J288" s="8"/>
      <c r="K288" s="8" t="str">
        <v/>
      </c>
      <c r="L288" s="8"/>
      <c r="M288" s="8"/>
      <c r="N288" s="8"/>
      <c r="O288" s="8" t="str">
        <v/>
      </c>
      <c r="P288" s="8"/>
      <c r="Q288" s="8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thickBot="1" x14ac:dyDescent="0.4">
      <c r="A289" s="4">
        <v>82</v>
      </c>
      <c r="B289" s="12" t="s">
        <v>45</v>
      </c>
      <c r="C289" s="7" t="s">
        <v>4</v>
      </c>
      <c r="D289" s="4" t="s">
        <v>6</v>
      </c>
      <c r="E289" s="7" t="s">
        <v>8</v>
      </c>
      <c r="F289" s="4">
        <v>24</v>
      </c>
      <c r="G289" s="4">
        <v>5</v>
      </c>
      <c r="H289" s="4">
        <v>1.4179999999999999</v>
      </c>
      <c r="I289" s="8"/>
      <c r="J289" s="8"/>
      <c r="K289" s="8" t="str">
        <v/>
      </c>
      <c r="L289" s="8"/>
      <c r="M289" s="8"/>
      <c r="N289" s="8"/>
      <c r="O289" s="8" t="str">
        <v/>
      </c>
      <c r="P289" s="8"/>
      <c r="Q289" s="8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thickBot="1" x14ac:dyDescent="0.4">
      <c r="A290" s="4">
        <v>84</v>
      </c>
      <c r="B290" s="12" t="s">
        <v>70</v>
      </c>
      <c r="C290" s="7" t="s">
        <v>4</v>
      </c>
      <c r="D290" s="4" t="s">
        <v>2</v>
      </c>
      <c r="E290" s="7" t="s">
        <v>26</v>
      </c>
      <c r="F290" s="4">
        <v>43</v>
      </c>
      <c r="G290" s="4">
        <v>76</v>
      </c>
      <c r="H290" s="4">
        <v>15</v>
      </c>
      <c r="I290" s="8"/>
      <c r="J290" s="8"/>
      <c r="K290" s="8" t="str">
        <v/>
      </c>
      <c r="L290" s="8"/>
      <c r="M290" s="8"/>
      <c r="N290" s="8"/>
      <c r="O290" s="8" t="str">
        <v/>
      </c>
      <c r="P290" s="8"/>
      <c r="Q290" s="8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thickBot="1" x14ac:dyDescent="0.4">
      <c r="A291" s="4">
        <v>84</v>
      </c>
      <c r="B291" s="12" t="s">
        <v>70</v>
      </c>
      <c r="C291" s="7" t="s">
        <v>31</v>
      </c>
      <c r="D291" s="4" t="s">
        <v>2</v>
      </c>
      <c r="E291" s="7" t="s">
        <v>26</v>
      </c>
      <c r="F291" s="4">
        <v>42</v>
      </c>
      <c r="G291" s="4">
        <v>76</v>
      </c>
      <c r="H291" s="4">
        <v>17</v>
      </c>
      <c r="I291" s="8"/>
      <c r="J291" s="8"/>
      <c r="K291" s="8" t="str">
        <v/>
      </c>
      <c r="L291" s="8"/>
      <c r="M291" s="8"/>
      <c r="N291" s="8"/>
      <c r="O291" s="8" t="str">
        <v/>
      </c>
      <c r="P291" s="8"/>
      <c r="Q291" s="8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thickBot="1" x14ac:dyDescent="0.4">
      <c r="A292" s="4">
        <v>85</v>
      </c>
      <c r="B292" s="12" t="s">
        <v>71</v>
      </c>
      <c r="C292" s="7" t="s">
        <v>1</v>
      </c>
      <c r="D292" s="4" t="s">
        <v>2</v>
      </c>
      <c r="E292" s="7" t="s">
        <v>26</v>
      </c>
      <c r="F292" s="4">
        <v>32</v>
      </c>
      <c r="G292" s="4">
        <v>89.4</v>
      </c>
      <c r="H292" s="4">
        <v>9.1999999999999993</v>
      </c>
      <c r="I292" s="8"/>
      <c r="J292" s="8"/>
      <c r="K292" s="8" t="str">
        <v/>
      </c>
      <c r="L292" s="8"/>
      <c r="M292" s="8"/>
      <c r="N292" s="8"/>
      <c r="O292" s="8" t="str">
        <v/>
      </c>
      <c r="P292" s="8"/>
      <c r="Q292" s="8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thickBot="1" x14ac:dyDescent="0.4">
      <c r="A293" s="4">
        <v>85</v>
      </c>
      <c r="B293" s="12" t="s">
        <v>71</v>
      </c>
      <c r="C293" s="7" t="s">
        <v>1</v>
      </c>
      <c r="D293" s="4" t="s">
        <v>2</v>
      </c>
      <c r="E293" s="7" t="s">
        <v>9</v>
      </c>
      <c r="F293" s="4">
        <v>32</v>
      </c>
      <c r="G293" s="4">
        <v>0</v>
      </c>
      <c r="H293" s="4">
        <v>0.8</v>
      </c>
      <c r="I293" s="8"/>
      <c r="J293" s="8"/>
      <c r="K293" s="8" t="str">
        <v/>
      </c>
      <c r="L293" s="8"/>
      <c r="M293" s="8"/>
      <c r="N293" s="8"/>
      <c r="O293" s="8" t="str">
        <v/>
      </c>
      <c r="P293" s="8"/>
      <c r="Q293" s="8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thickBot="1" x14ac:dyDescent="0.4">
      <c r="A294" s="4">
        <v>85</v>
      </c>
      <c r="B294" s="12" t="s">
        <v>71</v>
      </c>
      <c r="C294" s="7" t="s">
        <v>1</v>
      </c>
      <c r="D294" s="4" t="s">
        <v>6</v>
      </c>
      <c r="E294" s="7" t="s">
        <v>19</v>
      </c>
      <c r="F294" s="4">
        <v>32</v>
      </c>
      <c r="G294" s="4">
        <v>0</v>
      </c>
      <c r="H294" s="4">
        <v>8.7999999999999995E-2</v>
      </c>
      <c r="I294" s="8"/>
      <c r="J294" s="8"/>
      <c r="K294" s="8" t="str">
        <v/>
      </c>
      <c r="L294" s="8"/>
      <c r="M294" s="8"/>
      <c r="N294" s="8"/>
      <c r="O294" s="8" t="str">
        <v/>
      </c>
      <c r="P294" s="8"/>
      <c r="Q294" s="8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thickBot="1" x14ac:dyDescent="0.4">
      <c r="A295" s="4">
        <v>85</v>
      </c>
      <c r="B295" s="12" t="s">
        <v>71</v>
      </c>
      <c r="C295" s="7" t="s">
        <v>4</v>
      </c>
      <c r="D295" s="4" t="s">
        <v>2</v>
      </c>
      <c r="E295" s="7" t="s">
        <v>26</v>
      </c>
      <c r="F295" s="4">
        <v>32</v>
      </c>
      <c r="G295" s="4">
        <v>94.8</v>
      </c>
      <c r="H295" s="4">
        <v>6.4</v>
      </c>
      <c r="I295" s="8"/>
      <c r="J295" s="8"/>
      <c r="K295" s="8" t="str">
        <v/>
      </c>
      <c r="L295" s="8"/>
      <c r="M295" s="8"/>
      <c r="N295" s="8"/>
      <c r="O295" s="8" t="str">
        <v/>
      </c>
      <c r="P295" s="8"/>
      <c r="Q295" s="8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thickBot="1" x14ac:dyDescent="0.4">
      <c r="A296" s="4">
        <v>85</v>
      </c>
      <c r="B296" s="12" t="s">
        <v>71</v>
      </c>
      <c r="C296" s="7" t="s">
        <v>4</v>
      </c>
      <c r="D296" s="4" t="s">
        <v>2</v>
      </c>
      <c r="E296" s="7" t="s">
        <v>9</v>
      </c>
      <c r="F296" s="4">
        <v>32</v>
      </c>
      <c r="G296" s="4">
        <v>0.3</v>
      </c>
      <c r="H296" s="4">
        <v>0.7</v>
      </c>
      <c r="I296" s="8"/>
      <c r="J296" s="8"/>
      <c r="K296" s="8" t="str">
        <v/>
      </c>
      <c r="L296" s="8"/>
      <c r="M296" s="8"/>
      <c r="N296" s="8"/>
      <c r="O296" s="8" t="str">
        <v/>
      </c>
      <c r="P296" s="8"/>
      <c r="Q296" s="8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thickBot="1" x14ac:dyDescent="0.4">
      <c r="A297" s="4">
        <v>85</v>
      </c>
      <c r="B297" s="12" t="s">
        <v>71</v>
      </c>
      <c r="C297" s="7" t="s">
        <v>4</v>
      </c>
      <c r="D297" s="4" t="s">
        <v>6</v>
      </c>
      <c r="E297" s="7" t="s">
        <v>19</v>
      </c>
      <c r="F297" s="4">
        <v>32</v>
      </c>
      <c r="G297" s="4">
        <v>2</v>
      </c>
      <c r="H297" s="4">
        <v>0.47099999999999997</v>
      </c>
      <c r="I297" s="8"/>
      <c r="J297" s="8"/>
      <c r="K297" s="8" t="str">
        <v/>
      </c>
      <c r="L297" s="8"/>
      <c r="M297" s="8"/>
      <c r="N297" s="8"/>
      <c r="O297" s="8" t="str">
        <v/>
      </c>
      <c r="P297" s="8"/>
      <c r="Q297" s="8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thickBot="1" x14ac:dyDescent="0.4">
      <c r="A298" s="4">
        <v>87</v>
      </c>
      <c r="B298" s="12" t="s">
        <v>47</v>
      </c>
      <c r="C298" s="7" t="s">
        <v>1</v>
      </c>
      <c r="D298" s="4" t="s">
        <v>2</v>
      </c>
      <c r="E298" s="7" t="s">
        <v>26</v>
      </c>
      <c r="F298" s="4">
        <v>296</v>
      </c>
      <c r="G298" s="4">
        <v>89.4</v>
      </c>
      <c r="H298" s="4">
        <v>10.9</v>
      </c>
      <c r="I298" s="8"/>
      <c r="J298" s="8"/>
      <c r="K298" s="8" t="str">
        <v/>
      </c>
      <c r="L298" s="8"/>
      <c r="M298" s="8"/>
      <c r="N298" s="8"/>
      <c r="O298" s="8" t="str">
        <v/>
      </c>
      <c r="P298" s="8"/>
      <c r="Q298" s="8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thickBot="1" x14ac:dyDescent="0.4">
      <c r="A299" s="4">
        <v>87</v>
      </c>
      <c r="B299" s="12" t="s">
        <v>47</v>
      </c>
      <c r="C299" s="7" t="s">
        <v>1</v>
      </c>
      <c r="D299" s="4" t="s">
        <v>2</v>
      </c>
      <c r="E299" s="7" t="s">
        <v>11</v>
      </c>
      <c r="F299" s="4">
        <v>296</v>
      </c>
      <c r="G299" s="4">
        <v>89</v>
      </c>
      <c r="H299" s="4">
        <v>12.4</v>
      </c>
      <c r="I299" s="8"/>
      <c r="J299" s="8"/>
      <c r="K299" s="8" t="str">
        <v/>
      </c>
      <c r="L299" s="8"/>
      <c r="M299" s="8"/>
      <c r="N299" s="8"/>
      <c r="O299" s="8" t="str">
        <v/>
      </c>
      <c r="P299" s="8"/>
      <c r="Q299" s="8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thickBot="1" x14ac:dyDescent="0.4">
      <c r="A300" s="4">
        <v>87</v>
      </c>
      <c r="B300" s="12" t="s">
        <v>47</v>
      </c>
      <c r="C300" s="7" t="s">
        <v>1</v>
      </c>
      <c r="D300" s="4" t="s">
        <v>2</v>
      </c>
      <c r="E300" s="7" t="s">
        <v>3</v>
      </c>
      <c r="F300" s="4">
        <v>296</v>
      </c>
      <c r="G300" s="4">
        <v>6.6</v>
      </c>
      <c r="H300" s="4">
        <v>1.6</v>
      </c>
      <c r="I300" s="8"/>
      <c r="J300" s="8"/>
      <c r="K300" s="8" t="str">
        <v/>
      </c>
      <c r="L300" s="8"/>
      <c r="M300" s="8"/>
      <c r="N300" s="8"/>
      <c r="O300" s="8" t="str">
        <v/>
      </c>
      <c r="P300" s="8"/>
      <c r="Q300" s="8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thickBot="1" x14ac:dyDescent="0.4">
      <c r="A301" s="4">
        <v>87</v>
      </c>
      <c r="B301" s="12" t="s">
        <v>47</v>
      </c>
      <c r="C301" s="7" t="s">
        <v>1</v>
      </c>
      <c r="D301" s="4" t="s">
        <v>2</v>
      </c>
      <c r="E301" s="7" t="s">
        <v>9</v>
      </c>
      <c r="F301" s="4">
        <v>296</v>
      </c>
      <c r="G301" s="4">
        <v>1.2</v>
      </c>
      <c r="H301" s="4">
        <v>1.4</v>
      </c>
      <c r="I301" s="8"/>
      <c r="J301" s="8"/>
      <c r="K301" s="8" t="str">
        <v/>
      </c>
      <c r="L301" s="8"/>
      <c r="M301" s="8"/>
      <c r="N301" s="8"/>
      <c r="O301" s="8" t="str">
        <v/>
      </c>
      <c r="P301" s="8"/>
      <c r="Q301" s="8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thickBot="1" x14ac:dyDescent="0.4">
      <c r="A302" s="4">
        <v>87</v>
      </c>
      <c r="B302" s="12" t="s">
        <v>47</v>
      </c>
      <c r="C302" s="7" t="s">
        <v>1</v>
      </c>
      <c r="D302" s="4" t="s">
        <v>6</v>
      </c>
      <c r="E302" s="7" t="s">
        <v>19</v>
      </c>
      <c r="F302" s="4">
        <v>273</v>
      </c>
      <c r="G302" s="4">
        <v>12</v>
      </c>
      <c r="H302" s="4">
        <v>0.79100000000000004</v>
      </c>
      <c r="I302" s="8"/>
      <c r="J302" s="8"/>
      <c r="K302" s="8" t="str">
        <v/>
      </c>
      <c r="L302" s="8"/>
      <c r="M302" s="8"/>
      <c r="N302" s="8"/>
      <c r="O302" s="8" t="str">
        <v/>
      </c>
      <c r="P302" s="8"/>
      <c r="Q302" s="8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thickBot="1" x14ac:dyDescent="0.4">
      <c r="A303" s="4">
        <v>87</v>
      </c>
      <c r="B303" s="12" t="s">
        <v>47</v>
      </c>
      <c r="C303" s="7" t="s">
        <v>4</v>
      </c>
      <c r="D303" s="4" t="s">
        <v>2</v>
      </c>
      <c r="E303" s="7" t="s">
        <v>26</v>
      </c>
      <c r="F303" s="4">
        <v>297</v>
      </c>
      <c r="G303" s="4">
        <v>91</v>
      </c>
      <c r="H303" s="4">
        <v>10.3</v>
      </c>
      <c r="I303" s="8"/>
      <c r="J303" s="8"/>
      <c r="K303" s="8" t="str">
        <v/>
      </c>
      <c r="L303" s="8"/>
      <c r="M303" s="8"/>
      <c r="N303" s="8"/>
      <c r="O303" s="8" t="str">
        <v/>
      </c>
      <c r="P303" s="8"/>
      <c r="Q303" s="8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thickBot="1" x14ac:dyDescent="0.4">
      <c r="A304" s="4">
        <v>87</v>
      </c>
      <c r="B304" s="12" t="s">
        <v>47</v>
      </c>
      <c r="C304" s="7" t="s">
        <v>4</v>
      </c>
      <c r="D304" s="4" t="s">
        <v>2</v>
      </c>
      <c r="E304" s="7" t="s">
        <v>11</v>
      </c>
      <c r="F304" s="4">
        <v>297</v>
      </c>
      <c r="G304" s="4">
        <v>91.1</v>
      </c>
      <c r="H304" s="4">
        <v>11.9</v>
      </c>
      <c r="I304" s="8"/>
      <c r="J304" s="8"/>
      <c r="K304" s="8" t="str">
        <v/>
      </c>
      <c r="L304" s="8"/>
      <c r="M304" s="8"/>
      <c r="N304" s="8"/>
      <c r="O304" s="8" t="str">
        <v/>
      </c>
      <c r="P304" s="8"/>
      <c r="Q304" s="8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thickBot="1" x14ac:dyDescent="0.4">
      <c r="A305" s="4">
        <v>87</v>
      </c>
      <c r="B305" s="12" t="s">
        <v>47</v>
      </c>
      <c r="C305" s="7" t="s">
        <v>4</v>
      </c>
      <c r="D305" s="4" t="s">
        <v>2</v>
      </c>
      <c r="E305" s="7" t="s">
        <v>3</v>
      </c>
      <c r="F305" s="4">
        <v>297</v>
      </c>
      <c r="G305" s="4">
        <v>6.7</v>
      </c>
      <c r="H305" s="4">
        <v>1.7</v>
      </c>
      <c r="I305" s="8"/>
      <c r="J305" s="8"/>
      <c r="K305" s="8" t="str">
        <v/>
      </c>
      <c r="L305" s="8"/>
      <c r="M305" s="8"/>
      <c r="N305" s="8"/>
      <c r="O305" s="8" t="str">
        <v/>
      </c>
      <c r="P305" s="8"/>
      <c r="Q305" s="8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thickBot="1" x14ac:dyDescent="0.4">
      <c r="A306" s="4">
        <v>87</v>
      </c>
      <c r="B306" s="12" t="s">
        <v>47</v>
      </c>
      <c r="C306" s="7" t="s">
        <v>4</v>
      </c>
      <c r="D306" s="4" t="s">
        <v>2</v>
      </c>
      <c r="E306" s="7" t="s">
        <v>9</v>
      </c>
      <c r="F306" s="4">
        <v>297</v>
      </c>
      <c r="G306" s="4">
        <v>0.9</v>
      </c>
      <c r="H306" s="4">
        <v>1</v>
      </c>
      <c r="I306" s="8"/>
      <c r="J306" s="8"/>
      <c r="K306" s="8" t="str">
        <v/>
      </c>
      <c r="L306" s="8"/>
      <c r="M306" s="8"/>
      <c r="N306" s="8"/>
      <c r="O306" s="8" t="str">
        <v/>
      </c>
      <c r="P306" s="8"/>
      <c r="Q306" s="8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thickBot="1" x14ac:dyDescent="0.4">
      <c r="A307" s="4">
        <v>87</v>
      </c>
      <c r="B307" s="12" t="s">
        <v>47</v>
      </c>
      <c r="C307" s="7" t="s">
        <v>4</v>
      </c>
      <c r="D307" s="4" t="s">
        <v>6</v>
      </c>
      <c r="E307" s="7" t="s">
        <v>19</v>
      </c>
      <c r="F307" s="4">
        <v>283</v>
      </c>
      <c r="G307" s="4">
        <v>12</v>
      </c>
      <c r="H307" s="4">
        <v>0.77600000000000002</v>
      </c>
      <c r="I307" s="8"/>
      <c r="J307" s="8"/>
      <c r="K307" s="8" t="str">
        <v/>
      </c>
      <c r="L307" s="8"/>
      <c r="M307" s="8"/>
      <c r="N307" s="8"/>
      <c r="O307" s="8" t="str">
        <v/>
      </c>
      <c r="P307" s="8"/>
      <c r="Q307" s="8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thickBot="1" x14ac:dyDescent="0.4">
      <c r="A308" s="4">
        <v>89</v>
      </c>
      <c r="B308" s="12" t="s">
        <v>48</v>
      </c>
      <c r="C308" s="7" t="s">
        <v>4</v>
      </c>
      <c r="D308" s="4" t="s">
        <v>2</v>
      </c>
      <c r="E308" s="7" t="s">
        <v>26</v>
      </c>
      <c r="F308" s="4">
        <v>16</v>
      </c>
      <c r="G308" s="4">
        <v>90.13</v>
      </c>
      <c r="H308" s="4">
        <v>6.99</v>
      </c>
      <c r="I308" s="8"/>
      <c r="J308" s="8"/>
      <c r="K308" s="8" t="str">
        <v/>
      </c>
      <c r="L308" s="4">
        <v>92.5</v>
      </c>
      <c r="M308" s="8"/>
      <c r="N308" s="8"/>
      <c r="O308" s="8" t="str">
        <v/>
      </c>
      <c r="P308" s="8"/>
      <c r="Q308" s="8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thickBot="1" x14ac:dyDescent="0.4">
      <c r="A309" s="4">
        <v>89</v>
      </c>
      <c r="B309" s="12" t="s">
        <v>48</v>
      </c>
      <c r="C309" s="7" t="s">
        <v>4</v>
      </c>
      <c r="D309" s="4" t="s">
        <v>2</v>
      </c>
      <c r="E309" s="7" t="s">
        <v>11</v>
      </c>
      <c r="F309" s="4">
        <v>16</v>
      </c>
      <c r="G309" s="4">
        <v>90.06</v>
      </c>
      <c r="H309" s="4">
        <v>7.33</v>
      </c>
      <c r="I309" s="8"/>
      <c r="J309" s="8"/>
      <c r="K309" s="8" t="str">
        <v/>
      </c>
      <c r="L309" s="8"/>
      <c r="M309" s="8"/>
      <c r="N309" s="8"/>
      <c r="O309" s="8" t="str">
        <v/>
      </c>
      <c r="P309" s="8"/>
      <c r="Q309" s="8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thickBot="1" x14ac:dyDescent="0.4">
      <c r="A310" s="4">
        <v>89</v>
      </c>
      <c r="B310" s="12" t="s">
        <v>48</v>
      </c>
      <c r="C310" s="7" t="s">
        <v>31</v>
      </c>
      <c r="D310" s="4" t="s">
        <v>2</v>
      </c>
      <c r="E310" s="7" t="s">
        <v>26</v>
      </c>
      <c r="F310" s="4">
        <v>17</v>
      </c>
      <c r="G310" s="4">
        <v>87.12</v>
      </c>
      <c r="H310" s="4">
        <v>6.61</v>
      </c>
      <c r="I310" s="8"/>
      <c r="J310" s="8"/>
      <c r="K310" s="8" t="str">
        <v/>
      </c>
      <c r="L310" s="4">
        <v>90</v>
      </c>
      <c r="M310" s="8"/>
      <c r="N310" s="8"/>
      <c r="O310" s="8" t="str">
        <v/>
      </c>
      <c r="P310" s="8"/>
      <c r="Q310" s="8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thickBot="1" x14ac:dyDescent="0.4">
      <c r="A311" s="4">
        <v>89</v>
      </c>
      <c r="B311" s="12" t="s">
        <v>48</v>
      </c>
      <c r="C311" s="7" t="s">
        <v>31</v>
      </c>
      <c r="D311" s="4" t="s">
        <v>2</v>
      </c>
      <c r="E311" s="7" t="s">
        <v>11</v>
      </c>
      <c r="F311" s="4">
        <v>17</v>
      </c>
      <c r="G311" s="4">
        <v>90</v>
      </c>
      <c r="H311" s="4">
        <v>4.26</v>
      </c>
      <c r="I311" s="8"/>
      <c r="J311" s="8"/>
      <c r="K311" s="8" t="str">
        <v/>
      </c>
      <c r="L311" s="8"/>
      <c r="M311" s="8"/>
      <c r="N311" s="8"/>
      <c r="O311" s="8" t="str">
        <v/>
      </c>
      <c r="P311" s="8"/>
      <c r="Q311" s="8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thickBot="1" x14ac:dyDescent="0.4">
      <c r="A312" s="4">
        <v>90</v>
      </c>
      <c r="B312" s="12" t="s">
        <v>49</v>
      </c>
      <c r="C312" s="7" t="s">
        <v>1</v>
      </c>
      <c r="D312" s="4" t="s">
        <v>2</v>
      </c>
      <c r="E312" s="7" t="s">
        <v>3</v>
      </c>
      <c r="F312" s="4">
        <v>20</v>
      </c>
      <c r="G312" s="4">
        <v>6.8</v>
      </c>
      <c r="H312" s="4">
        <v>3.27</v>
      </c>
      <c r="I312" s="8"/>
      <c r="J312" s="8"/>
      <c r="K312" s="8" t="str">
        <v/>
      </c>
      <c r="L312" s="8"/>
      <c r="M312" s="8"/>
      <c r="N312" s="8"/>
      <c r="O312" s="8" t="str">
        <v/>
      </c>
      <c r="P312" s="8"/>
      <c r="Q312" s="8"/>
      <c r="R312" s="11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thickBot="1" x14ac:dyDescent="0.4">
      <c r="A313" s="4">
        <v>90</v>
      </c>
      <c r="B313" s="12" t="s">
        <v>49</v>
      </c>
      <c r="C313" s="7" t="s">
        <v>1</v>
      </c>
      <c r="D313" s="4" t="s">
        <v>2</v>
      </c>
      <c r="E313" s="7" t="s">
        <v>11</v>
      </c>
      <c r="F313" s="4">
        <v>21</v>
      </c>
      <c r="G313" s="4">
        <v>90.3</v>
      </c>
      <c r="H313" s="4">
        <v>12.19</v>
      </c>
      <c r="I313" s="8"/>
      <c r="J313" s="8"/>
      <c r="K313" s="8" t="str">
        <v/>
      </c>
      <c r="L313" s="8"/>
      <c r="M313" s="8"/>
      <c r="N313" s="8"/>
      <c r="O313" s="8" t="str">
        <v/>
      </c>
      <c r="P313" s="8"/>
      <c r="Q313" s="8"/>
      <c r="R313" s="11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thickBot="1" x14ac:dyDescent="0.4">
      <c r="A314" s="4">
        <v>90</v>
      </c>
      <c r="B314" s="12" t="s">
        <v>49</v>
      </c>
      <c r="C314" s="7" t="s">
        <v>1</v>
      </c>
      <c r="D314" s="4" t="s">
        <v>6</v>
      </c>
      <c r="E314" s="7" t="s">
        <v>19</v>
      </c>
      <c r="F314" s="4">
        <v>32</v>
      </c>
      <c r="G314" s="4">
        <v>3</v>
      </c>
      <c r="H314" s="4">
        <v>0.68300000000000005</v>
      </c>
      <c r="I314" s="8"/>
      <c r="J314" s="8"/>
      <c r="K314" s="8" t="str">
        <v/>
      </c>
      <c r="L314" s="8"/>
      <c r="M314" s="8"/>
      <c r="N314" s="8"/>
      <c r="O314" s="8" t="str">
        <v/>
      </c>
      <c r="P314" s="8"/>
      <c r="Q314" s="8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thickBot="1" x14ac:dyDescent="0.4">
      <c r="A315" s="4">
        <v>90</v>
      </c>
      <c r="B315" s="12" t="s">
        <v>49</v>
      </c>
      <c r="C315" s="7" t="s">
        <v>4</v>
      </c>
      <c r="D315" s="4" t="s">
        <v>2</v>
      </c>
      <c r="E315" s="7" t="s">
        <v>3</v>
      </c>
      <c r="F315" s="4">
        <v>24</v>
      </c>
      <c r="G315" s="4">
        <v>5.3</v>
      </c>
      <c r="H315" s="4">
        <v>3.58</v>
      </c>
      <c r="I315" s="8"/>
      <c r="J315" s="8"/>
      <c r="K315" s="8" t="str">
        <v/>
      </c>
      <c r="L315" s="8"/>
      <c r="M315" s="8"/>
      <c r="N315" s="8"/>
      <c r="O315" s="8" t="str">
        <v/>
      </c>
      <c r="P315" s="8"/>
      <c r="Q315" s="8"/>
      <c r="R315" s="11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thickBot="1" x14ac:dyDescent="0.4">
      <c r="A316" s="4">
        <v>90</v>
      </c>
      <c r="B316" s="12" t="s">
        <v>49</v>
      </c>
      <c r="C316" s="7" t="s">
        <v>4</v>
      </c>
      <c r="D316" s="4" t="s">
        <v>2</v>
      </c>
      <c r="E316" s="7" t="s">
        <v>11</v>
      </c>
      <c r="F316" s="4">
        <v>23</v>
      </c>
      <c r="G316" s="4">
        <v>90.4</v>
      </c>
      <c r="H316" s="4">
        <v>12.75</v>
      </c>
      <c r="I316" s="8"/>
      <c r="J316" s="8"/>
      <c r="K316" s="8" t="str">
        <v/>
      </c>
      <c r="L316" s="8"/>
      <c r="M316" s="8"/>
      <c r="N316" s="8"/>
      <c r="O316" s="8" t="str">
        <v/>
      </c>
      <c r="P316" s="8"/>
      <c r="Q316" s="8"/>
      <c r="R316" s="11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thickBot="1" x14ac:dyDescent="0.4">
      <c r="A317" s="4">
        <v>90</v>
      </c>
      <c r="B317" s="12" t="s">
        <v>49</v>
      </c>
      <c r="C317" s="7" t="s">
        <v>4</v>
      </c>
      <c r="D317" s="4" t="s">
        <v>6</v>
      </c>
      <c r="E317" s="7" t="s">
        <v>19</v>
      </c>
      <c r="F317" s="4">
        <v>32</v>
      </c>
      <c r="G317" s="4">
        <v>4</v>
      </c>
      <c r="H317" s="4">
        <v>0.90900000000000003</v>
      </c>
      <c r="I317" s="8"/>
      <c r="J317" s="8"/>
      <c r="K317" s="8" t="str">
        <v/>
      </c>
      <c r="L317" s="8"/>
      <c r="M317" s="8"/>
      <c r="N317" s="8"/>
      <c r="O317" s="8" t="str">
        <v/>
      </c>
      <c r="P317" s="8"/>
      <c r="Q317" s="8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thickBot="1" x14ac:dyDescent="0.4">
      <c r="A318" s="4">
        <v>93</v>
      </c>
      <c r="B318" s="12" t="s">
        <v>50</v>
      </c>
      <c r="C318" s="7" t="s">
        <v>1</v>
      </c>
      <c r="D318" s="4" t="s">
        <v>2</v>
      </c>
      <c r="E318" s="7" t="s">
        <v>26</v>
      </c>
      <c r="F318" s="4">
        <v>14</v>
      </c>
      <c r="G318" s="4">
        <v>90</v>
      </c>
      <c r="H318" s="4">
        <v>1.7569999999999999</v>
      </c>
      <c r="I318" s="8"/>
      <c r="J318" s="8"/>
      <c r="K318" s="8" t="str">
        <v/>
      </c>
      <c r="L318" s="4">
        <v>90</v>
      </c>
      <c r="M318" s="4">
        <v>87</v>
      </c>
      <c r="N318" s="4">
        <v>93</v>
      </c>
      <c r="O318" s="4">
        <v>6</v>
      </c>
      <c r="P318" s="8"/>
      <c r="Q318" s="8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thickBot="1" x14ac:dyDescent="0.4">
      <c r="A319" s="4">
        <v>93</v>
      </c>
      <c r="B319" s="12" t="s">
        <v>50</v>
      </c>
      <c r="C319" s="7" t="s">
        <v>1</v>
      </c>
      <c r="D319" s="4" t="s">
        <v>2</v>
      </c>
      <c r="E319" s="7" t="s">
        <v>11</v>
      </c>
      <c r="F319" s="4">
        <v>14</v>
      </c>
      <c r="G319" s="4">
        <v>96</v>
      </c>
      <c r="H319" s="4">
        <v>2.9279999999999999</v>
      </c>
      <c r="I319" s="8"/>
      <c r="J319" s="8"/>
      <c r="K319" s="8" t="str">
        <v/>
      </c>
      <c r="L319" s="4">
        <v>98</v>
      </c>
      <c r="M319" s="4">
        <v>90</v>
      </c>
      <c r="N319" s="4">
        <v>100</v>
      </c>
      <c r="O319" s="4">
        <v>10</v>
      </c>
      <c r="P319" s="8"/>
      <c r="Q319" s="8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thickBot="1" x14ac:dyDescent="0.4">
      <c r="A320" s="4">
        <v>93</v>
      </c>
      <c r="B320" s="12" t="s">
        <v>50</v>
      </c>
      <c r="C320" s="7" t="s">
        <v>31</v>
      </c>
      <c r="D320" s="4" t="s">
        <v>2</v>
      </c>
      <c r="E320" s="7" t="s">
        <v>26</v>
      </c>
      <c r="F320" s="4">
        <v>14</v>
      </c>
      <c r="G320" s="4">
        <v>88.17</v>
      </c>
      <c r="H320" s="4">
        <v>2.4889999999999999</v>
      </c>
      <c r="I320" s="8"/>
      <c r="J320" s="8"/>
      <c r="K320" s="8" t="str">
        <v/>
      </c>
      <c r="L320" s="4">
        <v>90</v>
      </c>
      <c r="M320" s="4">
        <v>83</v>
      </c>
      <c r="N320" s="4">
        <v>91.5</v>
      </c>
      <c r="O320" s="4">
        <v>8.5</v>
      </c>
      <c r="P320" s="8"/>
      <c r="Q320" s="8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thickBot="1" x14ac:dyDescent="0.4">
      <c r="A321" s="4">
        <v>93</v>
      </c>
      <c r="B321" s="12" t="s">
        <v>50</v>
      </c>
      <c r="C321" s="7" t="s">
        <v>31</v>
      </c>
      <c r="D321" s="4" t="s">
        <v>2</v>
      </c>
      <c r="E321" s="7" t="s">
        <v>11</v>
      </c>
      <c r="F321" s="4">
        <v>14</v>
      </c>
      <c r="G321" s="4">
        <v>95.33</v>
      </c>
      <c r="H321" s="4">
        <v>2.6349999999999998</v>
      </c>
      <c r="I321" s="8"/>
      <c r="J321" s="8"/>
      <c r="K321" s="8" t="str">
        <v/>
      </c>
      <c r="L321" s="4">
        <v>95</v>
      </c>
      <c r="M321" s="4">
        <v>91</v>
      </c>
      <c r="N321" s="4">
        <v>100</v>
      </c>
      <c r="O321" s="4">
        <v>9</v>
      </c>
      <c r="P321" s="8"/>
      <c r="Q321" s="8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thickBot="1" x14ac:dyDescent="0.4">
      <c r="A322" s="4">
        <v>95</v>
      </c>
      <c r="B322" s="12" t="s">
        <v>51</v>
      </c>
      <c r="C322" s="7" t="s">
        <v>1</v>
      </c>
      <c r="D322" s="4" t="s">
        <v>2</v>
      </c>
      <c r="E322" s="7" t="s">
        <v>9</v>
      </c>
      <c r="F322" s="4">
        <v>23</v>
      </c>
      <c r="G322" s="4">
        <v>1.1000000000000001</v>
      </c>
      <c r="H322" s="4">
        <v>0.64800000000000002</v>
      </c>
      <c r="I322" s="4">
        <v>1</v>
      </c>
      <c r="J322" s="4">
        <v>3.5</v>
      </c>
      <c r="K322" s="4">
        <v>2.5</v>
      </c>
      <c r="L322" s="8"/>
      <c r="M322" s="8"/>
      <c r="N322" s="8"/>
      <c r="O322" s="8" t="str">
        <v/>
      </c>
      <c r="P322" s="8"/>
      <c r="Q322" s="8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thickBot="1" x14ac:dyDescent="0.4">
      <c r="A323" s="4">
        <v>95</v>
      </c>
      <c r="B323" s="12" t="s">
        <v>51</v>
      </c>
      <c r="C323" s="7" t="s">
        <v>4</v>
      </c>
      <c r="D323" s="4" t="s">
        <v>2</v>
      </c>
      <c r="E323" s="7" t="s">
        <v>9</v>
      </c>
      <c r="F323" s="4">
        <v>31</v>
      </c>
      <c r="G323" s="4">
        <v>1.7</v>
      </c>
      <c r="H323" s="4">
        <v>0.97399999999999998</v>
      </c>
      <c r="I323" s="4">
        <v>0</v>
      </c>
      <c r="J323" s="4">
        <v>4</v>
      </c>
      <c r="K323" s="4">
        <v>4</v>
      </c>
      <c r="L323" s="8"/>
      <c r="M323" s="8"/>
      <c r="N323" s="8"/>
      <c r="O323" s="8" t="str">
        <v/>
      </c>
      <c r="P323" s="8"/>
      <c r="Q323" s="8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thickBot="1" x14ac:dyDescent="0.4">
      <c r="A324" s="4">
        <v>96</v>
      </c>
      <c r="B324" s="12" t="s">
        <v>72</v>
      </c>
      <c r="C324" s="7" t="s">
        <v>1</v>
      </c>
      <c r="D324" s="4" t="s">
        <v>2</v>
      </c>
      <c r="E324" s="7" t="s">
        <v>26</v>
      </c>
      <c r="F324" s="4">
        <v>29</v>
      </c>
      <c r="G324" s="4">
        <v>86.72</v>
      </c>
      <c r="H324" s="4">
        <v>2.2709999999999999</v>
      </c>
      <c r="I324" s="8"/>
      <c r="J324" s="8"/>
      <c r="K324" s="8" t="str">
        <v/>
      </c>
      <c r="L324" s="8"/>
      <c r="M324" s="8"/>
      <c r="N324" s="8"/>
      <c r="O324" s="8" t="str">
        <v/>
      </c>
      <c r="P324" s="8"/>
      <c r="Q324" s="8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thickBot="1" x14ac:dyDescent="0.4">
      <c r="A325" s="4">
        <v>96</v>
      </c>
      <c r="B325" s="12" t="s">
        <v>72</v>
      </c>
      <c r="C325" s="7" t="s">
        <v>1</v>
      </c>
      <c r="D325" s="4" t="s">
        <v>2</v>
      </c>
      <c r="E325" s="7" t="s">
        <v>11</v>
      </c>
      <c r="F325" s="4">
        <v>29</v>
      </c>
      <c r="G325" s="4">
        <v>87.28</v>
      </c>
      <c r="H325" s="4">
        <v>1.7609999999999999</v>
      </c>
      <c r="I325" s="8"/>
      <c r="J325" s="8"/>
      <c r="K325" s="8" t="str">
        <v/>
      </c>
      <c r="L325" s="8"/>
      <c r="M325" s="8"/>
      <c r="N325" s="8"/>
      <c r="O325" s="8" t="str">
        <v/>
      </c>
      <c r="P325" s="8"/>
      <c r="Q325" s="8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thickBot="1" x14ac:dyDescent="0.4">
      <c r="A326" s="4">
        <v>96</v>
      </c>
      <c r="B326" s="12" t="s">
        <v>72</v>
      </c>
      <c r="C326" s="7" t="s">
        <v>1</v>
      </c>
      <c r="D326" s="4" t="s">
        <v>2</v>
      </c>
      <c r="E326" s="7" t="s">
        <v>3</v>
      </c>
      <c r="F326" s="4">
        <v>29</v>
      </c>
      <c r="G326" s="4">
        <v>6.2</v>
      </c>
      <c r="H326" s="4">
        <v>0.34599999999999997</v>
      </c>
      <c r="I326" s="8"/>
      <c r="J326" s="8"/>
      <c r="K326" s="8" t="str">
        <v/>
      </c>
      <c r="L326" s="8"/>
      <c r="M326" s="8"/>
      <c r="N326" s="8"/>
      <c r="O326" s="8" t="str">
        <v/>
      </c>
      <c r="P326" s="8"/>
      <c r="Q326" s="8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thickBot="1" x14ac:dyDescent="0.4">
      <c r="A327" s="4">
        <v>96</v>
      </c>
      <c r="B327" s="12" t="s">
        <v>72</v>
      </c>
      <c r="C327" s="7" t="s">
        <v>1</v>
      </c>
      <c r="D327" s="4" t="s">
        <v>2</v>
      </c>
      <c r="E327" s="7" t="s">
        <v>9</v>
      </c>
      <c r="F327" s="4">
        <v>29</v>
      </c>
      <c r="G327" s="4">
        <v>0.9</v>
      </c>
      <c r="H327" s="4">
        <v>0.27100000000000002</v>
      </c>
      <c r="I327" s="8"/>
      <c r="J327" s="8"/>
      <c r="K327" s="8" t="str">
        <v/>
      </c>
      <c r="L327" s="8"/>
      <c r="M327" s="8"/>
      <c r="N327" s="8"/>
      <c r="O327" s="8" t="str">
        <v/>
      </c>
      <c r="P327" s="8"/>
      <c r="Q327" s="8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thickBot="1" x14ac:dyDescent="0.4">
      <c r="A328" s="4">
        <v>96</v>
      </c>
      <c r="B328" s="12" t="s">
        <v>72</v>
      </c>
      <c r="C328" s="7" t="s">
        <v>1</v>
      </c>
      <c r="D328" s="4" t="s">
        <v>6</v>
      </c>
      <c r="E328" s="7" t="s">
        <v>19</v>
      </c>
      <c r="F328" s="4">
        <v>29</v>
      </c>
      <c r="G328" s="4">
        <v>3</v>
      </c>
      <c r="H328" s="4">
        <v>0.72499999999999998</v>
      </c>
      <c r="I328" s="8"/>
      <c r="J328" s="8"/>
      <c r="K328" s="8" t="str">
        <v/>
      </c>
      <c r="L328" s="8"/>
      <c r="M328" s="8"/>
      <c r="N328" s="8"/>
      <c r="O328" s="8" t="str">
        <v/>
      </c>
      <c r="P328" s="8"/>
      <c r="Q328" s="8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thickBot="1" x14ac:dyDescent="0.4">
      <c r="A329" s="4">
        <v>96</v>
      </c>
      <c r="B329" s="12" t="s">
        <v>72</v>
      </c>
      <c r="C329" s="7" t="s">
        <v>4</v>
      </c>
      <c r="D329" s="4" t="s">
        <v>2</v>
      </c>
      <c r="E329" s="7" t="s">
        <v>26</v>
      </c>
      <c r="F329" s="4">
        <v>25</v>
      </c>
      <c r="G329" s="4">
        <v>92.95</v>
      </c>
      <c r="H329" s="4">
        <v>1.992</v>
      </c>
      <c r="I329" s="8"/>
      <c r="J329" s="8"/>
      <c r="K329" s="8" t="str">
        <v/>
      </c>
      <c r="L329" s="8"/>
      <c r="M329" s="8"/>
      <c r="N329" s="8"/>
      <c r="O329" s="8" t="str">
        <v/>
      </c>
      <c r="P329" s="8"/>
      <c r="Q329" s="8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thickBot="1" x14ac:dyDescent="0.4">
      <c r="A330" s="4">
        <v>96</v>
      </c>
      <c r="B330" s="12" t="s">
        <v>72</v>
      </c>
      <c r="C330" s="7" t="s">
        <v>4</v>
      </c>
      <c r="D330" s="4" t="s">
        <v>2</v>
      </c>
      <c r="E330" s="7" t="s">
        <v>11</v>
      </c>
      <c r="F330" s="4">
        <v>25</v>
      </c>
      <c r="G330" s="4">
        <v>91.82</v>
      </c>
      <c r="H330" s="4">
        <v>1.7130000000000001</v>
      </c>
      <c r="I330" s="8"/>
      <c r="J330" s="8"/>
      <c r="K330" s="8" t="str">
        <v/>
      </c>
      <c r="L330" s="8"/>
      <c r="M330" s="8"/>
      <c r="N330" s="8"/>
      <c r="O330" s="8" t="str">
        <v/>
      </c>
      <c r="P330" s="8"/>
      <c r="Q330" s="8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thickBot="1" x14ac:dyDescent="0.4">
      <c r="A331" s="4">
        <v>96</v>
      </c>
      <c r="B331" s="12" t="s">
        <v>72</v>
      </c>
      <c r="C331" s="7" t="s">
        <v>4</v>
      </c>
      <c r="D331" s="4" t="s">
        <v>2</v>
      </c>
      <c r="E331" s="7" t="s">
        <v>3</v>
      </c>
      <c r="F331" s="4">
        <v>25</v>
      </c>
      <c r="G331" s="4">
        <v>6.14</v>
      </c>
      <c r="H331" s="4">
        <v>0.36799999999999999</v>
      </c>
      <c r="I331" s="8"/>
      <c r="J331" s="8"/>
      <c r="K331" s="8" t="str">
        <v/>
      </c>
      <c r="L331" s="8"/>
      <c r="M331" s="8"/>
      <c r="N331" s="8"/>
      <c r="O331" s="8" t="str">
        <v/>
      </c>
      <c r="P331" s="8"/>
      <c r="Q331" s="8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thickBot="1" x14ac:dyDescent="0.4">
      <c r="A332" s="4">
        <v>96</v>
      </c>
      <c r="B332" s="12" t="s">
        <v>72</v>
      </c>
      <c r="C332" s="7" t="s">
        <v>4</v>
      </c>
      <c r="D332" s="4" t="s">
        <v>2</v>
      </c>
      <c r="E332" s="7" t="s">
        <v>9</v>
      </c>
      <c r="F332" s="4">
        <v>25</v>
      </c>
      <c r="G332" s="4">
        <v>0.64</v>
      </c>
      <c r="H332" s="4">
        <v>0.35599999999999998</v>
      </c>
      <c r="I332" s="8"/>
      <c r="J332" s="8"/>
      <c r="K332" s="8" t="str">
        <v/>
      </c>
      <c r="L332" s="8"/>
      <c r="M332" s="8"/>
      <c r="N332" s="8"/>
      <c r="O332" s="8" t="str">
        <v/>
      </c>
      <c r="P332" s="8"/>
      <c r="Q332" s="8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thickBot="1" x14ac:dyDescent="0.4">
      <c r="A333" s="4">
        <v>96</v>
      </c>
      <c r="B333" s="12" t="s">
        <v>72</v>
      </c>
      <c r="C333" s="7" t="s">
        <v>4</v>
      </c>
      <c r="D333" s="4" t="s">
        <v>6</v>
      </c>
      <c r="E333" s="7" t="s">
        <v>19</v>
      </c>
      <c r="F333" s="4">
        <v>25</v>
      </c>
      <c r="G333" s="4">
        <v>3</v>
      </c>
      <c r="H333" s="4">
        <v>0.79500000000000004</v>
      </c>
      <c r="I333" s="8"/>
      <c r="J333" s="8"/>
      <c r="K333" s="8" t="str">
        <v/>
      </c>
      <c r="L333" s="8"/>
      <c r="M333" s="8"/>
      <c r="N333" s="8"/>
      <c r="O333" s="8" t="str">
        <v/>
      </c>
      <c r="P333" s="8"/>
      <c r="Q333" s="8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thickBot="1" x14ac:dyDescent="0.4">
      <c r="A334" s="4">
        <v>97</v>
      </c>
      <c r="B334" s="12" t="s">
        <v>52</v>
      </c>
      <c r="C334" s="7" t="s">
        <v>4</v>
      </c>
      <c r="D334" s="4" t="s">
        <v>2</v>
      </c>
      <c r="E334" s="7" t="s">
        <v>11</v>
      </c>
      <c r="F334" s="4">
        <v>36</v>
      </c>
      <c r="G334" s="4">
        <v>92.4</v>
      </c>
      <c r="H334" s="4">
        <v>0</v>
      </c>
      <c r="I334" s="8"/>
      <c r="J334" s="8"/>
      <c r="K334" s="8" t="str">
        <v/>
      </c>
      <c r="L334" s="8"/>
      <c r="M334" s="8"/>
      <c r="N334" s="8"/>
      <c r="O334" s="8" t="str">
        <v/>
      </c>
      <c r="P334" s="8"/>
      <c r="Q334" s="8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thickBot="1" x14ac:dyDescent="0.4">
      <c r="A335" s="4">
        <v>97</v>
      </c>
      <c r="B335" s="12" t="s">
        <v>52</v>
      </c>
      <c r="C335" s="7" t="s">
        <v>4</v>
      </c>
      <c r="D335" s="4" t="s">
        <v>2</v>
      </c>
      <c r="E335" s="7" t="s">
        <v>9</v>
      </c>
      <c r="F335" s="4">
        <v>36</v>
      </c>
      <c r="G335" s="4">
        <v>3.77</v>
      </c>
      <c r="H335" s="4">
        <v>2.0099999999999998</v>
      </c>
      <c r="I335" s="8"/>
      <c r="J335" s="8"/>
      <c r="K335" s="8" t="str">
        <v/>
      </c>
      <c r="L335" s="8"/>
      <c r="M335" s="8"/>
      <c r="N335" s="8"/>
      <c r="O335" s="8" t="str">
        <v/>
      </c>
      <c r="P335" s="8"/>
      <c r="Q335" s="8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thickBot="1" x14ac:dyDescent="0.4">
      <c r="A336" s="4">
        <v>97</v>
      </c>
      <c r="B336" s="12" t="s">
        <v>52</v>
      </c>
      <c r="C336" s="7" t="s">
        <v>4</v>
      </c>
      <c r="D336" s="4" t="s">
        <v>6</v>
      </c>
      <c r="E336" s="7" t="s">
        <v>8</v>
      </c>
      <c r="F336" s="4">
        <v>36</v>
      </c>
      <c r="G336" s="4">
        <v>5</v>
      </c>
      <c r="H336" s="4">
        <v>1.0649999999999999</v>
      </c>
      <c r="I336" s="8"/>
      <c r="J336" s="8"/>
      <c r="K336" s="8" t="str">
        <v/>
      </c>
      <c r="L336" s="8"/>
      <c r="M336" s="8"/>
      <c r="N336" s="8"/>
      <c r="O336" s="8" t="str">
        <v/>
      </c>
      <c r="P336" s="8"/>
      <c r="Q336" s="8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thickBot="1" x14ac:dyDescent="0.4">
      <c r="A337" s="4">
        <v>97</v>
      </c>
      <c r="B337" s="12" t="s">
        <v>52</v>
      </c>
      <c r="C337" s="7" t="s">
        <v>4</v>
      </c>
      <c r="D337" s="4" t="s">
        <v>6</v>
      </c>
      <c r="E337" s="7" t="s">
        <v>19</v>
      </c>
      <c r="F337" s="4">
        <v>36</v>
      </c>
      <c r="G337" s="4">
        <v>1</v>
      </c>
      <c r="H337" s="4">
        <v>0.25700000000000001</v>
      </c>
      <c r="I337" s="8"/>
      <c r="J337" s="8"/>
      <c r="K337" s="8" t="str">
        <v/>
      </c>
      <c r="L337" s="8"/>
      <c r="M337" s="8"/>
      <c r="N337" s="8"/>
      <c r="O337" s="8" t="str">
        <v/>
      </c>
      <c r="P337" s="8"/>
      <c r="Q337" s="8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thickBot="1" x14ac:dyDescent="0.4">
      <c r="A338" s="4">
        <v>97</v>
      </c>
      <c r="B338" s="12" t="s">
        <v>52</v>
      </c>
      <c r="C338" s="7" t="s">
        <v>31</v>
      </c>
      <c r="D338" s="4" t="s">
        <v>2</v>
      </c>
      <c r="E338" s="7" t="s">
        <v>11</v>
      </c>
      <c r="F338" s="4">
        <v>33</v>
      </c>
      <c r="G338" s="4">
        <v>88.2</v>
      </c>
      <c r="H338" s="4">
        <v>0</v>
      </c>
      <c r="I338" s="8"/>
      <c r="J338" s="8"/>
      <c r="K338" s="8" t="str">
        <v/>
      </c>
      <c r="L338" s="8"/>
      <c r="M338" s="8"/>
      <c r="N338" s="8"/>
      <c r="O338" s="8" t="str">
        <v/>
      </c>
      <c r="P338" s="8"/>
      <c r="Q338" s="8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thickBot="1" x14ac:dyDescent="0.4">
      <c r="A339" s="4">
        <v>97</v>
      </c>
      <c r="B339" s="12" t="s">
        <v>52</v>
      </c>
      <c r="C339" s="7" t="s">
        <v>31</v>
      </c>
      <c r="D339" s="4" t="s">
        <v>2</v>
      </c>
      <c r="E339" s="7" t="s">
        <v>9</v>
      </c>
      <c r="F339" s="4">
        <v>33</v>
      </c>
      <c r="G339" s="4">
        <v>2.73</v>
      </c>
      <c r="H339" s="4">
        <v>1.64</v>
      </c>
      <c r="I339" s="8"/>
      <c r="J339" s="8"/>
      <c r="K339" s="8" t="str">
        <v/>
      </c>
      <c r="L339" s="8"/>
      <c r="M339" s="8"/>
      <c r="N339" s="8"/>
      <c r="O339" s="8" t="str">
        <v/>
      </c>
      <c r="P339" s="8"/>
      <c r="Q339" s="8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thickBot="1" x14ac:dyDescent="0.4">
      <c r="A340" s="4">
        <v>97</v>
      </c>
      <c r="B340" s="12" t="s">
        <v>52</v>
      </c>
      <c r="C340" s="7" t="s">
        <v>31</v>
      </c>
      <c r="D340" s="4" t="s">
        <v>6</v>
      </c>
      <c r="E340" s="7" t="s">
        <v>8</v>
      </c>
      <c r="F340" s="4">
        <v>33</v>
      </c>
      <c r="G340" s="4">
        <v>0</v>
      </c>
      <c r="H340" s="4">
        <v>8.6999999999999994E-2</v>
      </c>
      <c r="I340" s="8"/>
      <c r="J340" s="8"/>
      <c r="K340" s="8" t="str">
        <v/>
      </c>
      <c r="L340" s="8"/>
      <c r="M340" s="8"/>
      <c r="N340" s="8"/>
      <c r="O340" s="8" t="str">
        <v/>
      </c>
      <c r="P340" s="8"/>
      <c r="Q340" s="8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thickBot="1" x14ac:dyDescent="0.4">
      <c r="A341" s="4">
        <v>97</v>
      </c>
      <c r="B341" s="12" t="s">
        <v>52</v>
      </c>
      <c r="C341" s="7" t="s">
        <v>31</v>
      </c>
      <c r="D341" s="4" t="s">
        <v>6</v>
      </c>
      <c r="E341" s="7" t="s">
        <v>19</v>
      </c>
      <c r="F341" s="4">
        <v>33</v>
      </c>
      <c r="G341" s="4">
        <v>0</v>
      </c>
      <c r="H341" s="4">
        <v>8.6999999999999994E-2</v>
      </c>
      <c r="I341" s="8"/>
      <c r="J341" s="8"/>
      <c r="K341" s="8" t="str">
        <v/>
      </c>
      <c r="L341" s="8"/>
      <c r="M341" s="8"/>
      <c r="N341" s="8"/>
      <c r="O341" s="8" t="str">
        <v/>
      </c>
      <c r="P341" s="8"/>
      <c r="Q341" s="8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thickBot="1" x14ac:dyDescent="0.4">
      <c r="A342" s="4">
        <v>98</v>
      </c>
      <c r="B342" s="12" t="s">
        <v>53</v>
      </c>
      <c r="C342" s="7" t="s">
        <v>4</v>
      </c>
      <c r="D342" s="4" t="s">
        <v>2</v>
      </c>
      <c r="E342" s="7" t="s">
        <v>3</v>
      </c>
      <c r="F342" s="4">
        <v>68</v>
      </c>
      <c r="G342" s="4">
        <v>5</v>
      </c>
      <c r="H342" s="4">
        <v>1.484</v>
      </c>
      <c r="I342" s="4">
        <v>2</v>
      </c>
      <c r="J342" s="4">
        <v>9</v>
      </c>
      <c r="K342" s="4">
        <v>7</v>
      </c>
      <c r="L342" s="8"/>
      <c r="M342" s="8"/>
      <c r="N342" s="8"/>
      <c r="O342" s="8" t="str">
        <v/>
      </c>
      <c r="P342" s="8"/>
      <c r="Q342" s="8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thickBot="1" x14ac:dyDescent="0.4">
      <c r="A343" s="4">
        <v>98</v>
      </c>
      <c r="B343" s="12" t="s">
        <v>53</v>
      </c>
      <c r="C343" s="7" t="s">
        <v>4</v>
      </c>
      <c r="D343" s="4" t="s">
        <v>2</v>
      </c>
      <c r="E343" s="7" t="s">
        <v>11</v>
      </c>
      <c r="F343" s="4">
        <v>68</v>
      </c>
      <c r="G343" s="4">
        <v>96</v>
      </c>
      <c r="H343" s="4">
        <v>6.9939999999999998</v>
      </c>
      <c r="I343" s="4">
        <v>67</v>
      </c>
      <c r="J343" s="4">
        <v>100</v>
      </c>
      <c r="K343" s="4">
        <v>33</v>
      </c>
      <c r="L343" s="8"/>
      <c r="M343" s="8"/>
      <c r="N343" s="8"/>
      <c r="O343" s="8" t="str">
        <v/>
      </c>
      <c r="P343" s="8"/>
      <c r="Q343" s="8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thickBot="1" x14ac:dyDescent="0.4">
      <c r="A344" s="4">
        <v>98</v>
      </c>
      <c r="B344" s="12" t="s">
        <v>53</v>
      </c>
      <c r="C344" s="7" t="s">
        <v>4</v>
      </c>
      <c r="D344" s="4" t="s">
        <v>2</v>
      </c>
      <c r="E344" s="7" t="s">
        <v>9</v>
      </c>
      <c r="F344" s="4">
        <v>68</v>
      </c>
      <c r="G344" s="4">
        <v>2.2000000000000002</v>
      </c>
      <c r="H344" s="4">
        <v>0</v>
      </c>
      <c r="I344" s="8"/>
      <c r="J344" s="8"/>
      <c r="K344" s="8" t="str">
        <v/>
      </c>
      <c r="L344" s="8"/>
      <c r="M344" s="8"/>
      <c r="N344" s="8"/>
      <c r="O344" s="8" t="str">
        <v/>
      </c>
      <c r="P344" s="8"/>
      <c r="Q344" s="8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thickBot="1" x14ac:dyDescent="0.4">
      <c r="A345" s="4">
        <v>98</v>
      </c>
      <c r="B345" s="12" t="s">
        <v>53</v>
      </c>
      <c r="C345" s="7" t="s">
        <v>4</v>
      </c>
      <c r="D345" s="4" t="s">
        <v>6</v>
      </c>
      <c r="E345" s="7" t="s">
        <v>8</v>
      </c>
      <c r="F345" s="4">
        <v>68</v>
      </c>
      <c r="G345" s="4">
        <v>2</v>
      </c>
      <c r="H345" s="4">
        <v>0.312</v>
      </c>
      <c r="I345" s="8"/>
      <c r="J345" s="8"/>
      <c r="K345" s="8" t="str">
        <v/>
      </c>
      <c r="L345" s="8"/>
      <c r="M345" s="8"/>
      <c r="N345" s="8"/>
      <c r="O345" s="8" t="str">
        <v/>
      </c>
      <c r="P345" s="8"/>
      <c r="Q345" s="8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thickBot="1" x14ac:dyDescent="0.4">
      <c r="A346" s="4">
        <v>98</v>
      </c>
      <c r="B346" s="12" t="s">
        <v>53</v>
      </c>
      <c r="C346" s="7" t="s">
        <v>4</v>
      </c>
      <c r="D346" s="4" t="s">
        <v>6</v>
      </c>
      <c r="E346" s="7" t="s">
        <v>7</v>
      </c>
      <c r="F346" s="4">
        <v>68</v>
      </c>
      <c r="G346" s="4">
        <v>4</v>
      </c>
      <c r="H346" s="4">
        <v>0.57999999999999996</v>
      </c>
      <c r="I346" s="8"/>
      <c r="J346" s="8"/>
      <c r="K346" s="8" t="str">
        <v/>
      </c>
      <c r="L346" s="8"/>
      <c r="M346" s="8"/>
      <c r="N346" s="8"/>
      <c r="O346" s="8" t="str">
        <v/>
      </c>
      <c r="P346" s="8"/>
      <c r="Q346" s="8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thickBot="1" x14ac:dyDescent="0.4">
      <c r="A347" s="4">
        <v>98</v>
      </c>
      <c r="B347" s="12" t="s">
        <v>53</v>
      </c>
      <c r="C347" s="7" t="s">
        <v>55</v>
      </c>
      <c r="D347" s="4" t="s">
        <v>2</v>
      </c>
      <c r="E347" s="7" t="s">
        <v>3</v>
      </c>
      <c r="F347" s="4">
        <v>64</v>
      </c>
      <c r="G347" s="4">
        <v>5</v>
      </c>
      <c r="H347" s="4">
        <v>1.07</v>
      </c>
      <c r="I347" s="4">
        <v>3</v>
      </c>
      <c r="J347" s="4">
        <v>8</v>
      </c>
      <c r="K347" s="4">
        <v>5</v>
      </c>
      <c r="L347" s="8"/>
      <c r="M347" s="8"/>
      <c r="N347" s="8"/>
      <c r="O347" s="8" t="str">
        <v/>
      </c>
      <c r="P347" s="8"/>
      <c r="Q347" s="8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thickBot="1" x14ac:dyDescent="0.4">
      <c r="A348" s="4">
        <v>98</v>
      </c>
      <c r="B348" s="12" t="s">
        <v>53</v>
      </c>
      <c r="C348" s="7" t="s">
        <v>55</v>
      </c>
      <c r="D348" s="4" t="s">
        <v>2</v>
      </c>
      <c r="E348" s="7" t="s">
        <v>11</v>
      </c>
      <c r="F348" s="4">
        <v>64</v>
      </c>
      <c r="G348" s="4">
        <v>93</v>
      </c>
      <c r="H348" s="4">
        <v>5.7770000000000001</v>
      </c>
      <c r="I348" s="4">
        <v>73</v>
      </c>
      <c r="J348" s="4">
        <v>100</v>
      </c>
      <c r="K348" s="4">
        <v>27</v>
      </c>
      <c r="L348" s="8"/>
      <c r="M348" s="8"/>
      <c r="N348" s="8"/>
      <c r="O348" s="8" t="str">
        <v/>
      </c>
      <c r="P348" s="8"/>
      <c r="Q348" s="8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thickBot="1" x14ac:dyDescent="0.4">
      <c r="A349" s="4">
        <v>98</v>
      </c>
      <c r="B349" s="12" t="s">
        <v>53</v>
      </c>
      <c r="C349" s="7" t="s">
        <v>55</v>
      </c>
      <c r="D349" s="4" t="s">
        <v>2</v>
      </c>
      <c r="E349" s="7" t="s">
        <v>9</v>
      </c>
      <c r="F349" s="4">
        <v>64</v>
      </c>
      <c r="G349" s="4">
        <v>2.5</v>
      </c>
      <c r="H349" s="4">
        <v>0</v>
      </c>
      <c r="I349" s="8"/>
      <c r="J349" s="8"/>
      <c r="K349" s="8" t="str">
        <v/>
      </c>
      <c r="L349" s="8"/>
      <c r="M349" s="8"/>
      <c r="N349" s="8"/>
      <c r="O349" s="8" t="str">
        <v/>
      </c>
      <c r="P349" s="8"/>
      <c r="Q349" s="8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thickBot="1" x14ac:dyDescent="0.4">
      <c r="A350" s="4">
        <v>98</v>
      </c>
      <c r="B350" s="12" t="s">
        <v>53</v>
      </c>
      <c r="C350" s="7" t="s">
        <v>55</v>
      </c>
      <c r="D350" s="4" t="s">
        <v>6</v>
      </c>
      <c r="E350" s="7" t="s">
        <v>8</v>
      </c>
      <c r="F350" s="4">
        <v>64</v>
      </c>
      <c r="G350" s="4">
        <v>3</v>
      </c>
      <c r="H350" s="4">
        <v>0.45900000000000002</v>
      </c>
      <c r="I350" s="8"/>
      <c r="J350" s="8"/>
      <c r="K350" s="8" t="str">
        <v/>
      </c>
      <c r="L350" s="8"/>
      <c r="M350" s="8"/>
      <c r="N350" s="8"/>
      <c r="O350" s="8" t="str">
        <v/>
      </c>
      <c r="P350" s="8"/>
      <c r="Q350" s="8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thickBot="1" x14ac:dyDescent="0.4">
      <c r="A351" s="4">
        <v>98</v>
      </c>
      <c r="B351" s="12" t="s">
        <v>53</v>
      </c>
      <c r="C351" s="7" t="s">
        <v>55</v>
      </c>
      <c r="D351" s="4" t="s">
        <v>6</v>
      </c>
      <c r="E351" s="7" t="s">
        <v>7</v>
      </c>
      <c r="F351" s="4">
        <v>64</v>
      </c>
      <c r="G351" s="4">
        <v>6</v>
      </c>
      <c r="H351" s="4">
        <v>0.89700000000000002</v>
      </c>
      <c r="I351" s="8"/>
      <c r="J351" s="8"/>
      <c r="K351" s="8" t="str">
        <v/>
      </c>
      <c r="L351" s="8"/>
      <c r="M351" s="8"/>
      <c r="N351" s="8"/>
      <c r="O351" s="8" t="str">
        <v/>
      </c>
      <c r="P351" s="8"/>
      <c r="Q351" s="8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thickBot="1" x14ac:dyDescent="0.4">
      <c r="A352" s="4">
        <v>100</v>
      </c>
      <c r="B352" s="12" t="s">
        <v>54</v>
      </c>
      <c r="C352" s="7" t="s">
        <v>1</v>
      </c>
      <c r="D352" s="4" t="s">
        <v>2</v>
      </c>
      <c r="E352" s="7" t="s">
        <v>26</v>
      </c>
      <c r="F352" s="4">
        <v>40</v>
      </c>
      <c r="G352" s="4">
        <v>82</v>
      </c>
      <c r="H352" s="4">
        <v>20</v>
      </c>
      <c r="I352" s="8"/>
      <c r="J352" s="8"/>
      <c r="K352" s="8" t="str">
        <v/>
      </c>
      <c r="L352" s="8"/>
      <c r="M352" s="8"/>
      <c r="N352" s="8"/>
      <c r="O352" s="8" t="str">
        <v/>
      </c>
      <c r="P352" s="8"/>
      <c r="Q352" s="8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thickBot="1" x14ac:dyDescent="0.4">
      <c r="A353" s="4">
        <v>100</v>
      </c>
      <c r="B353" s="12" t="s">
        <v>54</v>
      </c>
      <c r="C353" s="7" t="s">
        <v>1</v>
      </c>
      <c r="D353" s="4" t="s">
        <v>2</v>
      </c>
      <c r="E353" s="7" t="s">
        <v>9</v>
      </c>
      <c r="F353" s="4">
        <v>40</v>
      </c>
      <c r="G353" s="4">
        <v>0.4</v>
      </c>
      <c r="H353" s="4">
        <v>0.6</v>
      </c>
      <c r="I353" s="8"/>
      <c r="J353" s="8"/>
      <c r="K353" s="8" t="str">
        <v/>
      </c>
      <c r="L353" s="8"/>
      <c r="M353" s="8"/>
      <c r="N353" s="8"/>
      <c r="O353" s="8" t="str">
        <v/>
      </c>
      <c r="P353" s="8"/>
      <c r="Q353" s="8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thickBot="1" x14ac:dyDescent="0.4">
      <c r="A354" s="4">
        <v>100</v>
      </c>
      <c r="B354" s="12" t="s">
        <v>54</v>
      </c>
      <c r="C354" s="7" t="s">
        <v>4</v>
      </c>
      <c r="D354" s="4" t="s">
        <v>2</v>
      </c>
      <c r="E354" s="7" t="s">
        <v>26</v>
      </c>
      <c r="F354" s="4">
        <v>39</v>
      </c>
      <c r="G354" s="4">
        <v>88</v>
      </c>
      <c r="H354" s="4">
        <v>9</v>
      </c>
      <c r="I354" s="8"/>
      <c r="J354" s="8"/>
      <c r="K354" s="8" t="str">
        <v/>
      </c>
      <c r="L354" s="8"/>
      <c r="M354" s="8"/>
      <c r="N354" s="8"/>
      <c r="O354" s="8" t="str">
        <v/>
      </c>
      <c r="P354" s="8"/>
      <c r="Q354" s="8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thickBot="1" x14ac:dyDescent="0.4">
      <c r="A355" s="4">
        <v>100</v>
      </c>
      <c r="B355" s="12" t="s">
        <v>54</v>
      </c>
      <c r="C355" s="7" t="s">
        <v>4</v>
      </c>
      <c r="D355" s="4" t="s">
        <v>2</v>
      </c>
      <c r="E355" s="7" t="s">
        <v>9</v>
      </c>
      <c r="F355" s="4">
        <v>39</v>
      </c>
      <c r="G355" s="4">
        <v>1.1000000000000001</v>
      </c>
      <c r="H355" s="4">
        <v>1.9</v>
      </c>
      <c r="I355" s="8"/>
      <c r="J355" s="8"/>
      <c r="K355" s="8" t="str">
        <v/>
      </c>
      <c r="L355" s="8"/>
      <c r="M355" s="8"/>
      <c r="N355" s="8"/>
      <c r="O355" s="8" t="str">
        <v/>
      </c>
      <c r="P355" s="8"/>
      <c r="Q355" s="8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x14ac:dyDescent="0.35">
      <c r="K356" s="6" t="str">
        <v/>
      </c>
      <c r="O356" s="6" t="str">
        <v/>
      </c>
    </row>
    <row r="357" spans="1:28" x14ac:dyDescent="0.35">
      <c r="K357" s="6" t="str">
        <v/>
      </c>
      <c r="O357" s="6" t="str">
        <v/>
      </c>
    </row>
    <row r="358" spans="1:28" x14ac:dyDescent="0.35">
      <c r="K358" s="6" t="str">
        <v/>
      </c>
      <c r="O358" s="6" t="str">
        <v/>
      </c>
    </row>
    <row r="359" spans="1:28" x14ac:dyDescent="0.35">
      <c r="K359" s="6" t="str">
        <v/>
      </c>
      <c r="O359" s="6" t="str">
        <v/>
      </c>
    </row>
    <row r="360" spans="1:28" x14ac:dyDescent="0.35">
      <c r="K360" s="6" t="str">
        <v/>
      </c>
      <c r="O360" s="6" t="str">
        <v/>
      </c>
    </row>
    <row r="361" spans="1:28" x14ac:dyDescent="0.35">
      <c r="K361" s="6" t="str">
        <v/>
      </c>
      <c r="O361" s="6" t="str">
        <v/>
      </c>
    </row>
    <row r="362" spans="1:28" x14ac:dyDescent="0.35">
      <c r="K362" s="6" t="str">
        <v/>
      </c>
      <c r="O362" s="6" t="str">
        <v/>
      </c>
    </row>
    <row r="363" spans="1:28" x14ac:dyDescent="0.35">
      <c r="K363" s="6" t="str">
        <v/>
      </c>
      <c r="O363" s="6" t="str">
        <v/>
      </c>
    </row>
    <row r="364" spans="1:28" x14ac:dyDescent="0.35">
      <c r="K364" s="6" t="str">
        <v/>
      </c>
      <c r="O364" s="6" t="str">
        <v/>
      </c>
    </row>
    <row r="365" spans="1:28" x14ac:dyDescent="0.35">
      <c r="K365" s="6" t="str">
        <v/>
      </c>
      <c r="O365" s="6" t="str">
        <v/>
      </c>
    </row>
    <row r="366" spans="1:28" x14ac:dyDescent="0.35">
      <c r="K366" s="6" t="str">
        <v/>
      </c>
      <c r="O366" s="6" t="str">
        <v/>
      </c>
    </row>
    <row r="367" spans="1:28" x14ac:dyDescent="0.35">
      <c r="K367" s="6" t="str">
        <v/>
      </c>
      <c r="O367" s="6" t="str">
        <v/>
      </c>
    </row>
    <row r="368" spans="1:28" x14ac:dyDescent="0.35">
      <c r="K368" s="6" t="str">
        <v/>
      </c>
      <c r="O368" s="6" t="str">
        <v/>
      </c>
    </row>
    <row r="369" spans="11:15" x14ac:dyDescent="0.35">
      <c r="K369" s="6" t="str">
        <v/>
      </c>
      <c r="O369" s="6" t="str">
        <v/>
      </c>
    </row>
    <row r="370" spans="11:15" x14ac:dyDescent="0.35">
      <c r="K370" s="6" t="str">
        <v/>
      </c>
      <c r="O370" s="6" t="str">
        <v/>
      </c>
    </row>
    <row r="371" spans="11:15" x14ac:dyDescent="0.35">
      <c r="K371" s="6" t="str">
        <v/>
      </c>
      <c r="O371" s="6" t="str">
        <v/>
      </c>
    </row>
    <row r="372" spans="11:15" x14ac:dyDescent="0.35">
      <c r="K372" s="6" t="str">
        <v/>
      </c>
      <c r="O372" s="6" t="str">
        <v/>
      </c>
    </row>
    <row r="373" spans="11:15" x14ac:dyDescent="0.35">
      <c r="K373" s="6" t="str">
        <v/>
      </c>
      <c r="O373" s="6" t="str">
        <v/>
      </c>
    </row>
    <row r="374" spans="11:15" x14ac:dyDescent="0.35">
      <c r="K374" s="6" t="str">
        <v/>
      </c>
      <c r="O374" s="6" t="str">
        <v/>
      </c>
    </row>
    <row r="375" spans="11:15" x14ac:dyDescent="0.35">
      <c r="K375" s="6" t="str">
        <v/>
      </c>
      <c r="O375" s="6" t="str">
        <v/>
      </c>
    </row>
    <row r="376" spans="11:15" x14ac:dyDescent="0.35">
      <c r="K376" s="6" t="str">
        <v/>
      </c>
      <c r="O376" s="6" t="str">
        <v/>
      </c>
    </row>
    <row r="377" spans="11:15" x14ac:dyDescent="0.35">
      <c r="K377" s="6" t="str">
        <v/>
      </c>
      <c r="O377" s="6" t="str">
        <v/>
      </c>
    </row>
    <row r="378" spans="11:15" x14ac:dyDescent="0.35">
      <c r="K378" s="6" t="str">
        <v/>
      </c>
      <c r="O378" s="6" t="str">
        <v/>
      </c>
    </row>
    <row r="379" spans="11:15" x14ac:dyDescent="0.35">
      <c r="K379" s="6" t="str">
        <v/>
      </c>
      <c r="O379" s="6" t="str">
        <v/>
      </c>
    </row>
    <row r="380" spans="11:15" x14ac:dyDescent="0.35">
      <c r="K380" s="6" t="str">
        <v/>
      </c>
      <c r="O380" s="6" t="str">
        <v/>
      </c>
    </row>
    <row r="381" spans="11:15" x14ac:dyDescent="0.35">
      <c r="K381" s="6" t="str">
        <v/>
      </c>
      <c r="O381" s="6" t="str">
        <v/>
      </c>
    </row>
    <row r="382" spans="11:15" x14ac:dyDescent="0.35">
      <c r="K382" s="6" t="str">
        <v/>
      </c>
      <c r="O382" s="6" t="str">
        <v/>
      </c>
    </row>
    <row r="383" spans="11:15" x14ac:dyDescent="0.35">
      <c r="K383" s="6" t="str">
        <v/>
      </c>
      <c r="O383" s="6" t="str">
        <v/>
      </c>
    </row>
    <row r="384" spans="11:15" x14ac:dyDescent="0.35">
      <c r="K384" s="6" t="str">
        <v/>
      </c>
      <c r="O384" s="6" t="str">
        <v/>
      </c>
    </row>
    <row r="385" spans="11:15" x14ac:dyDescent="0.35">
      <c r="K385" s="6" t="str">
        <v/>
      </c>
      <c r="O385" s="6" t="str">
        <v/>
      </c>
    </row>
    <row r="386" spans="11:15" x14ac:dyDescent="0.35">
      <c r="K386" s="6" t="str">
        <v/>
      </c>
      <c r="O386" s="6" t="str">
        <v/>
      </c>
    </row>
    <row r="387" spans="11:15" x14ac:dyDescent="0.35">
      <c r="K387" s="6" t="str">
        <v/>
      </c>
      <c r="O387" s="6" t="str">
        <v/>
      </c>
    </row>
    <row r="388" spans="11:15" x14ac:dyDescent="0.35">
      <c r="K388" s="6" t="str">
        <v/>
      </c>
      <c r="O388" s="6" t="str">
        <v/>
      </c>
    </row>
    <row r="389" spans="11:15" x14ac:dyDescent="0.35">
      <c r="K389" s="6" t="str">
        <v/>
      </c>
      <c r="O389" s="6" t="str">
        <v/>
      </c>
    </row>
    <row r="390" spans="11:15" x14ac:dyDescent="0.35">
      <c r="K390" s="6" t="str">
        <v/>
      </c>
      <c r="O390" s="6" t="str">
        <v/>
      </c>
    </row>
    <row r="391" spans="11:15" x14ac:dyDescent="0.35">
      <c r="K391" s="6" t="str">
        <v/>
      </c>
      <c r="O391" s="6" t="str">
        <v/>
      </c>
    </row>
    <row r="392" spans="11:15" x14ac:dyDescent="0.35">
      <c r="K392" s="6" t="str">
        <v/>
      </c>
      <c r="O392" s="6" t="str">
        <v/>
      </c>
    </row>
    <row r="393" spans="11:15" x14ac:dyDescent="0.35">
      <c r="K393" s="6" t="str">
        <v/>
      </c>
      <c r="O393" s="6" t="str">
        <v/>
      </c>
    </row>
    <row r="394" spans="11:15" x14ac:dyDescent="0.35">
      <c r="K394" s="6" t="str">
        <v/>
      </c>
      <c r="O394" s="6" t="str">
        <v/>
      </c>
    </row>
    <row r="395" spans="11:15" x14ac:dyDescent="0.35">
      <c r="K395" s="6" t="str">
        <v/>
      </c>
      <c r="O395" s="6" t="str">
        <v/>
      </c>
    </row>
    <row r="396" spans="11:15" x14ac:dyDescent="0.35">
      <c r="K396" s="6" t="str">
        <v/>
      </c>
      <c r="O396" s="6" t="str">
        <v/>
      </c>
    </row>
    <row r="397" spans="11:15" x14ac:dyDescent="0.35">
      <c r="K397" s="6" t="str">
        <v/>
      </c>
      <c r="O397" s="6" t="str">
        <v/>
      </c>
    </row>
    <row r="398" spans="11:15" x14ac:dyDescent="0.35">
      <c r="K398" s="6" t="str">
        <v/>
      </c>
      <c r="O398" s="6" t="str">
        <v/>
      </c>
    </row>
    <row r="399" spans="11:15" x14ac:dyDescent="0.35">
      <c r="K399" s="6" t="str">
        <v/>
      </c>
      <c r="O399" s="6" t="str">
        <v/>
      </c>
    </row>
    <row r="400" spans="11:15" x14ac:dyDescent="0.35">
      <c r="K400" s="6" t="str">
        <v/>
      </c>
      <c r="O400" s="6" t="str">
        <v/>
      </c>
    </row>
    <row r="401" spans="11:15" x14ac:dyDescent="0.35">
      <c r="K401" s="6" t="str">
        <v/>
      </c>
      <c r="O401" s="6" t="str">
        <v/>
      </c>
    </row>
    <row r="402" spans="11:15" x14ac:dyDescent="0.35">
      <c r="K402" s="6" t="str">
        <v/>
      </c>
      <c r="O402" s="6" t="str">
        <v/>
      </c>
    </row>
    <row r="403" spans="11:15" x14ac:dyDescent="0.35">
      <c r="K403" s="6" t="str">
        <v/>
      </c>
      <c r="O403" s="6" t="str">
        <v/>
      </c>
    </row>
    <row r="404" spans="11:15" x14ac:dyDescent="0.35">
      <c r="K404" s="6" t="str">
        <v/>
      </c>
      <c r="O404" s="6" t="str">
        <v/>
      </c>
    </row>
    <row r="405" spans="11:15" x14ac:dyDescent="0.35">
      <c r="K405" s="6" t="str">
        <v/>
      </c>
      <c r="O405" s="6" t="str">
        <v/>
      </c>
    </row>
    <row r="406" spans="11:15" x14ac:dyDescent="0.35">
      <c r="K406" s="6" t="str">
        <v/>
      </c>
      <c r="O406" s="6" t="str">
        <v/>
      </c>
    </row>
    <row r="407" spans="11:15" x14ac:dyDescent="0.35">
      <c r="K407" s="6" t="str">
        <v/>
      </c>
      <c r="O407" s="6" t="str">
        <v/>
      </c>
    </row>
    <row r="408" spans="11:15" x14ac:dyDescent="0.35">
      <c r="K408" s="6" t="str">
        <v/>
      </c>
      <c r="O408" s="6" t="str">
        <v/>
      </c>
    </row>
    <row r="409" spans="11:15" x14ac:dyDescent="0.35">
      <c r="K409" s="6" t="str">
        <v/>
      </c>
      <c r="O409" s="6" t="str">
        <v/>
      </c>
    </row>
    <row r="410" spans="11:15" x14ac:dyDescent="0.35">
      <c r="K410" s="6" t="str">
        <v/>
      </c>
      <c r="O410" s="6" t="str">
        <v/>
      </c>
    </row>
    <row r="411" spans="11:15" x14ac:dyDescent="0.35">
      <c r="K411" s="6" t="str">
        <v/>
      </c>
      <c r="O411" s="6" t="str">
        <v/>
      </c>
    </row>
    <row r="412" spans="11:15" x14ac:dyDescent="0.35">
      <c r="K412" s="6" t="str">
        <v/>
      </c>
      <c r="O412" s="6" t="str">
        <v/>
      </c>
    </row>
    <row r="413" spans="11:15" x14ac:dyDescent="0.35">
      <c r="K413" s="6" t="str">
        <v/>
      </c>
      <c r="O413" s="6" t="str">
        <v/>
      </c>
    </row>
    <row r="414" spans="11:15" x14ac:dyDescent="0.35">
      <c r="K414" s="6" t="str">
        <v/>
      </c>
      <c r="O414" s="6" t="str">
        <v/>
      </c>
    </row>
    <row r="415" spans="11:15" x14ac:dyDescent="0.35">
      <c r="K415" s="6" t="str">
        <v/>
      </c>
      <c r="O415" s="6" t="str">
        <v/>
      </c>
    </row>
    <row r="416" spans="11:15" x14ac:dyDescent="0.35">
      <c r="K416" s="6" t="str">
        <v/>
      </c>
      <c r="O416" s="6" t="str">
        <v/>
      </c>
    </row>
    <row r="417" spans="11:15" x14ac:dyDescent="0.35">
      <c r="K417" s="6" t="str">
        <v/>
      </c>
      <c r="O417" s="6" t="str">
        <v/>
      </c>
    </row>
    <row r="418" spans="11:15" x14ac:dyDescent="0.35">
      <c r="K418" s="6" t="str">
        <v/>
      </c>
      <c r="O418" s="6" t="str">
        <v/>
      </c>
    </row>
    <row r="419" spans="11:15" x14ac:dyDescent="0.35">
      <c r="K419" s="6" t="str">
        <v/>
      </c>
      <c r="O419" s="6" t="str">
        <v/>
      </c>
    </row>
    <row r="420" spans="11:15" x14ac:dyDescent="0.35">
      <c r="K420" s="6" t="str">
        <v/>
      </c>
      <c r="O420" s="6" t="str">
        <v/>
      </c>
    </row>
    <row r="421" spans="11:15" x14ac:dyDescent="0.35">
      <c r="K421" s="6" t="str">
        <v/>
      </c>
      <c r="O421" s="6" t="str">
        <v/>
      </c>
    </row>
    <row r="422" spans="11:15" x14ac:dyDescent="0.35">
      <c r="K422" s="6" t="str">
        <v/>
      </c>
      <c r="O422" s="6" t="str">
        <v/>
      </c>
    </row>
    <row r="423" spans="11:15" x14ac:dyDescent="0.35">
      <c r="K423" s="6" t="str">
        <v/>
      </c>
      <c r="O423" s="6" t="str">
        <v/>
      </c>
    </row>
    <row r="424" spans="11:15" x14ac:dyDescent="0.35">
      <c r="K424" s="6" t="str">
        <v/>
      </c>
      <c r="O424" s="6" t="str">
        <v/>
      </c>
    </row>
    <row r="425" spans="11:15" x14ac:dyDescent="0.35">
      <c r="K425" s="6" t="str">
        <v/>
      </c>
      <c r="O425" s="6" t="str">
        <v/>
      </c>
    </row>
    <row r="426" spans="11:15" x14ac:dyDescent="0.35">
      <c r="K426" s="6" t="str">
        <v/>
      </c>
      <c r="O426" s="6" t="str">
        <v/>
      </c>
    </row>
    <row r="427" spans="11:15" x14ac:dyDescent="0.35">
      <c r="K427" s="6" t="str">
        <v/>
      </c>
      <c r="O427" s="6" t="str">
        <v/>
      </c>
    </row>
    <row r="428" spans="11:15" x14ac:dyDescent="0.35">
      <c r="K428" s="6" t="str">
        <v/>
      </c>
      <c r="O428" s="6" t="str">
        <v/>
      </c>
    </row>
    <row r="429" spans="11:15" x14ac:dyDescent="0.35">
      <c r="K429" s="6" t="str">
        <v/>
      </c>
      <c r="O429" s="6" t="str">
        <v/>
      </c>
    </row>
    <row r="430" spans="11:15" x14ac:dyDescent="0.35">
      <c r="K430" s="6" t="str">
        <v/>
      </c>
      <c r="O430" s="6" t="str">
        <v/>
      </c>
    </row>
    <row r="431" spans="11:15" x14ac:dyDescent="0.35">
      <c r="K431" s="6" t="str">
        <v/>
      </c>
      <c r="O431" s="6" t="str">
        <v/>
      </c>
    </row>
    <row r="432" spans="11:15" x14ac:dyDescent="0.35">
      <c r="K432" s="6" t="str">
        <v/>
      </c>
      <c r="O432" s="6" t="str">
        <v/>
      </c>
    </row>
    <row r="433" spans="11:15" x14ac:dyDescent="0.35">
      <c r="K433" s="6" t="str">
        <v/>
      </c>
      <c r="O433" s="6" t="str">
        <v/>
      </c>
    </row>
    <row r="434" spans="11:15" x14ac:dyDescent="0.35">
      <c r="K434" s="6" t="str">
        <v/>
      </c>
      <c r="O434" s="6" t="str">
        <v/>
      </c>
    </row>
    <row r="435" spans="11:15" x14ac:dyDescent="0.35">
      <c r="K435" s="6" t="str">
        <v/>
      </c>
      <c r="O435" s="6" t="str">
        <v/>
      </c>
    </row>
    <row r="436" spans="11:15" x14ac:dyDescent="0.35">
      <c r="K436" s="6" t="str">
        <v/>
      </c>
      <c r="O436" s="6" t="str">
        <v/>
      </c>
    </row>
    <row r="437" spans="11:15" x14ac:dyDescent="0.35">
      <c r="K437" s="6" t="str">
        <v/>
      </c>
      <c r="O437" s="6" t="str">
        <v/>
      </c>
    </row>
    <row r="438" spans="11:15" x14ac:dyDescent="0.35">
      <c r="K438" s="6" t="str">
        <v/>
      </c>
      <c r="O438" s="6" t="str">
        <v/>
      </c>
    </row>
    <row r="439" spans="11:15" x14ac:dyDescent="0.35">
      <c r="K439" s="6" t="str">
        <v/>
      </c>
      <c r="O439" s="6" t="str">
        <v/>
      </c>
    </row>
    <row r="440" spans="11:15" x14ac:dyDescent="0.35">
      <c r="K440" s="6" t="str">
        <v/>
      </c>
      <c r="O440" s="6" t="str">
        <v/>
      </c>
    </row>
    <row r="441" spans="11:15" x14ac:dyDescent="0.35">
      <c r="K441" s="6" t="str">
        <v/>
      </c>
      <c r="O441" s="6" t="str">
        <v/>
      </c>
    </row>
    <row r="442" spans="11:15" x14ac:dyDescent="0.35">
      <c r="K442" s="6" t="str">
        <v/>
      </c>
      <c r="O442" s="6" t="str">
        <v/>
      </c>
    </row>
    <row r="443" spans="11:15" x14ac:dyDescent="0.35">
      <c r="K443" s="6" t="str">
        <v/>
      </c>
      <c r="O443" s="6" t="str">
        <v/>
      </c>
    </row>
    <row r="444" spans="11:15" x14ac:dyDescent="0.35">
      <c r="K444" s="6" t="str">
        <v/>
      </c>
      <c r="O444" s="6" t="str">
        <v/>
      </c>
    </row>
    <row r="445" spans="11:15" x14ac:dyDescent="0.35">
      <c r="K445" s="6" t="str">
        <v/>
      </c>
      <c r="O445" s="6" t="str">
        <v/>
      </c>
    </row>
    <row r="446" spans="11:15" x14ac:dyDescent="0.35">
      <c r="K446" s="6" t="str">
        <v/>
      </c>
      <c r="O446" s="6" t="str">
        <v/>
      </c>
    </row>
    <row r="447" spans="11:15" x14ac:dyDescent="0.35">
      <c r="K447" s="6" t="str">
        <v/>
      </c>
      <c r="O447" s="6" t="str">
        <v/>
      </c>
    </row>
    <row r="448" spans="11:15" x14ac:dyDescent="0.35">
      <c r="K448" s="6" t="str">
        <v/>
      </c>
      <c r="O448" s="6" t="str">
        <v/>
      </c>
    </row>
    <row r="449" spans="11:15" x14ac:dyDescent="0.35">
      <c r="K449" s="6" t="str">
        <v/>
      </c>
      <c r="O449" s="6" t="str">
        <v/>
      </c>
    </row>
    <row r="450" spans="11:15" x14ac:dyDescent="0.35">
      <c r="K450" s="6" t="str">
        <v/>
      </c>
      <c r="O450" s="6" t="str">
        <v/>
      </c>
    </row>
    <row r="451" spans="11:15" x14ac:dyDescent="0.35">
      <c r="K451" s="6" t="str">
        <v/>
      </c>
      <c r="O451" s="6" t="str">
        <v/>
      </c>
    </row>
    <row r="452" spans="11:15" x14ac:dyDescent="0.35">
      <c r="K452" s="6" t="str">
        <v/>
      </c>
      <c r="O452" s="6" t="str">
        <v/>
      </c>
    </row>
    <row r="453" spans="11:15" x14ac:dyDescent="0.35">
      <c r="K453" s="6" t="str">
        <v/>
      </c>
      <c r="O453" s="6" t="str">
        <v/>
      </c>
    </row>
    <row r="454" spans="11:15" x14ac:dyDescent="0.35">
      <c r="K454" s="6" t="str">
        <v/>
      </c>
      <c r="O454" s="6" t="str">
        <v/>
      </c>
    </row>
    <row r="455" spans="11:15" x14ac:dyDescent="0.35">
      <c r="K455" s="6" t="str">
        <v/>
      </c>
      <c r="O455" s="6" t="str">
        <v/>
      </c>
    </row>
    <row r="456" spans="11:15" x14ac:dyDescent="0.35">
      <c r="K456" s="6" t="str">
        <v/>
      </c>
      <c r="O456" s="6" t="str">
        <v/>
      </c>
    </row>
    <row r="457" spans="11:15" x14ac:dyDescent="0.35">
      <c r="K457" s="6" t="str">
        <v/>
      </c>
      <c r="O457" s="6" t="str">
        <v/>
      </c>
    </row>
    <row r="458" spans="11:15" x14ac:dyDescent="0.35">
      <c r="K458" s="6" t="str">
        <v/>
      </c>
      <c r="O458" s="6" t="str">
        <v/>
      </c>
    </row>
    <row r="459" spans="11:15" x14ac:dyDescent="0.35">
      <c r="K459" s="6" t="str">
        <v/>
      </c>
      <c r="O459" s="6" t="str">
        <v/>
      </c>
    </row>
    <row r="460" spans="11:15" x14ac:dyDescent="0.35">
      <c r="K460" s="6" t="str">
        <v/>
      </c>
      <c r="O460" s="6" t="str">
        <v/>
      </c>
    </row>
    <row r="461" spans="11:15" x14ac:dyDescent="0.35">
      <c r="K461" s="6" t="str">
        <v/>
      </c>
      <c r="O461" s="6" t="str">
        <v/>
      </c>
    </row>
    <row r="462" spans="11:15" x14ac:dyDescent="0.35">
      <c r="K462" s="6" t="str">
        <v/>
      </c>
      <c r="O462" s="6" t="str">
        <v/>
      </c>
    </row>
    <row r="463" spans="11:15" x14ac:dyDescent="0.35">
      <c r="K463" s="6" t="str">
        <v/>
      </c>
      <c r="O463" s="6" t="str">
        <v/>
      </c>
    </row>
    <row r="464" spans="11:15" x14ac:dyDescent="0.35">
      <c r="K464" s="6" t="str">
        <v/>
      </c>
      <c r="O464" s="6" t="str">
        <v/>
      </c>
    </row>
    <row r="465" spans="11:15" x14ac:dyDescent="0.35">
      <c r="K465" s="6" t="str">
        <v/>
      </c>
      <c r="O465" s="6" t="str">
        <v/>
      </c>
    </row>
    <row r="466" spans="11:15" x14ac:dyDescent="0.35">
      <c r="K466" s="6" t="str">
        <v/>
      </c>
      <c r="O466" s="6" t="str">
        <v/>
      </c>
    </row>
    <row r="467" spans="11:15" x14ac:dyDescent="0.35">
      <c r="K467" s="6" t="str">
        <v/>
      </c>
      <c r="O467" s="6" t="str">
        <v/>
      </c>
    </row>
    <row r="468" spans="11:15" x14ac:dyDescent="0.35">
      <c r="K468" s="6" t="str">
        <v/>
      </c>
      <c r="O468" s="6" t="str">
        <v/>
      </c>
    </row>
    <row r="469" spans="11:15" x14ac:dyDescent="0.35">
      <c r="K469" s="6" t="str">
        <v/>
      </c>
      <c r="O469" s="6" t="str">
        <v/>
      </c>
    </row>
    <row r="470" spans="11:15" x14ac:dyDescent="0.35">
      <c r="K470" s="6" t="str">
        <v/>
      </c>
      <c r="O470" s="6" t="str">
        <v/>
      </c>
    </row>
    <row r="471" spans="11:15" x14ac:dyDescent="0.35">
      <c r="K471" s="6" t="str">
        <v/>
      </c>
      <c r="O471" s="6" t="str">
        <v/>
      </c>
    </row>
    <row r="472" spans="11:15" x14ac:dyDescent="0.35">
      <c r="K472" s="6" t="str">
        <v/>
      </c>
      <c r="O472" s="6" t="str">
        <v/>
      </c>
    </row>
    <row r="473" spans="11:15" x14ac:dyDescent="0.35">
      <c r="K473" s="6" t="str">
        <v/>
      </c>
      <c r="O473" s="6" t="str">
        <v/>
      </c>
    </row>
    <row r="474" spans="11:15" x14ac:dyDescent="0.35">
      <c r="K474" s="6" t="str">
        <v/>
      </c>
      <c r="O474" s="6" t="str">
        <v/>
      </c>
    </row>
    <row r="475" spans="11:15" x14ac:dyDescent="0.35">
      <c r="K475" s="6" t="str">
        <v/>
      </c>
      <c r="O475" s="6" t="str">
        <v/>
      </c>
    </row>
    <row r="476" spans="11:15" x14ac:dyDescent="0.35">
      <c r="K476" s="6" t="str">
        <v/>
      </c>
      <c r="O476" s="6" t="str">
        <v/>
      </c>
    </row>
    <row r="477" spans="11:15" x14ac:dyDescent="0.35">
      <c r="K477" s="6" t="str">
        <v/>
      </c>
      <c r="O477" s="6" t="str">
        <v/>
      </c>
    </row>
    <row r="478" spans="11:15" x14ac:dyDescent="0.35">
      <c r="K478" s="6" t="str">
        <v/>
      </c>
      <c r="O478" s="6" t="str">
        <v/>
      </c>
    </row>
    <row r="479" spans="11:15" x14ac:dyDescent="0.35">
      <c r="K479" s="6" t="str">
        <v/>
      </c>
      <c r="O479" s="6" t="str">
        <v/>
      </c>
    </row>
    <row r="480" spans="11:15" x14ac:dyDescent="0.35">
      <c r="K480" s="6" t="str">
        <v/>
      </c>
      <c r="O480" s="6" t="str">
        <v/>
      </c>
    </row>
    <row r="481" spans="11:15" x14ac:dyDescent="0.35">
      <c r="K481" s="6" t="str">
        <v/>
      </c>
      <c r="O481" s="6" t="str">
        <v/>
      </c>
    </row>
    <row r="482" spans="11:15" x14ac:dyDescent="0.35">
      <c r="K482" s="6" t="str">
        <v/>
      </c>
      <c r="O482" s="6" t="str">
        <v/>
      </c>
    </row>
    <row r="483" spans="11:15" x14ac:dyDescent="0.35">
      <c r="K483" s="6" t="str">
        <v/>
      </c>
      <c r="O483" s="6" t="str">
        <v/>
      </c>
    </row>
    <row r="484" spans="11:15" x14ac:dyDescent="0.35">
      <c r="K484" s="6" t="str">
        <v/>
      </c>
      <c r="O484" s="6" t="str">
        <v/>
      </c>
    </row>
    <row r="485" spans="11:15" x14ac:dyDescent="0.35">
      <c r="K485" s="6" t="str">
        <v/>
      </c>
      <c r="O485" s="6" t="str">
        <v/>
      </c>
    </row>
    <row r="486" spans="11:15" x14ac:dyDescent="0.35">
      <c r="K486" s="6" t="str">
        <v/>
      </c>
      <c r="O486" s="6" t="str">
        <v/>
      </c>
    </row>
    <row r="487" spans="11:15" x14ac:dyDescent="0.35">
      <c r="K487" s="6" t="str">
        <v/>
      </c>
      <c r="O487" s="6" t="str">
        <v/>
      </c>
    </row>
    <row r="488" spans="11:15" x14ac:dyDescent="0.35">
      <c r="K488" s="6" t="str">
        <v/>
      </c>
      <c r="O488" s="6" t="str">
        <v/>
      </c>
    </row>
    <row r="489" spans="11:15" x14ac:dyDescent="0.35">
      <c r="K489" s="6" t="str">
        <v/>
      </c>
      <c r="O489" s="6" t="str">
        <v/>
      </c>
    </row>
    <row r="490" spans="11:15" x14ac:dyDescent="0.35">
      <c r="K490" s="6" t="str">
        <v/>
      </c>
      <c r="O490" s="6" t="str">
        <v/>
      </c>
    </row>
    <row r="491" spans="11:15" x14ac:dyDescent="0.35">
      <c r="K491" s="6" t="str">
        <v/>
      </c>
      <c r="O491" s="6" t="str">
        <v/>
      </c>
    </row>
    <row r="492" spans="11:15" x14ac:dyDescent="0.35">
      <c r="K492" s="6" t="str">
        <v/>
      </c>
      <c r="O492" s="6" t="str">
        <v/>
      </c>
    </row>
    <row r="493" spans="11:15" x14ac:dyDescent="0.35">
      <c r="K493" s="6" t="str">
        <v/>
      </c>
      <c r="O493" s="6" t="str">
        <v/>
      </c>
    </row>
    <row r="494" spans="11:15" x14ac:dyDescent="0.35">
      <c r="K494" s="6" t="str">
        <v/>
      </c>
      <c r="O494" s="6" t="str">
        <v/>
      </c>
    </row>
    <row r="495" spans="11:15" x14ac:dyDescent="0.35">
      <c r="K495" s="6" t="str">
        <v/>
      </c>
      <c r="O495" s="6" t="str">
        <v/>
      </c>
    </row>
    <row r="496" spans="11:15" x14ac:dyDescent="0.35">
      <c r="K496" s="6" t="str">
        <v/>
      </c>
      <c r="O496" s="6" t="str">
        <v/>
      </c>
    </row>
    <row r="497" spans="11:15" x14ac:dyDescent="0.35">
      <c r="K497" s="6" t="str">
        <v/>
      </c>
      <c r="O497" s="6" t="str">
        <v/>
      </c>
    </row>
  </sheetData>
  <hyperlinks>
    <hyperlink ref="B2" r:id="rId1" display="https://github.com/d-wkim/phd/blob/main/data/pdf/ageberg_2009.pdf" xr:uid="{1A0AE7FD-7E81-42ED-A8A0-2F5A86610532}"/>
    <hyperlink ref="B3" r:id="rId2" display="https://github.com/d-wkim/phd/blob/main/data/pdf/ageberg_2009.pdf" xr:uid="{F88799AE-264A-4BDB-8732-9C70DAE0D5B5}"/>
    <hyperlink ref="B4" r:id="rId3" display="https://github.com/d-wkim/phd/blob/main/data/pdf/aglietti_2004.pdf" xr:uid="{CCAAA6A2-C5FD-4AF2-A081-8E78D6A73DD8}"/>
    <hyperlink ref="B5" r:id="rId4" display="https://github.com/d-wkim/phd/blob/main/data/pdf/aglietti_2004.pdf" xr:uid="{E34D5777-4685-49FD-B10C-A509CA208433}"/>
    <hyperlink ref="B6" r:id="rId5" display="https://github.com/d-wkim/phd/blob/main/data/pdf/aglietti_2004.pdf" xr:uid="{96743C5A-077C-4AF7-8925-BB4102D10BF3}"/>
    <hyperlink ref="B7" r:id="rId6" display="https://github.com/d-wkim/phd/blob/main/data/pdf/aglietti_2004.pdf" xr:uid="{E41A9DEB-685A-421C-8FF0-03A59AEFE9F3}"/>
    <hyperlink ref="B8" r:id="rId7" display="https://github.com/d-wkim/phd/blob/main/data/pdf/aglietti_2004.pdf" xr:uid="{18687B21-9B0B-4047-9AAA-55E77C039C4E}"/>
    <hyperlink ref="B9" r:id="rId8" display="https://github.com/d-wkim/phd/blob/main/data/pdf/aglietti_2004.pdf" xr:uid="{27D1B6EF-6D44-48FB-8D47-E23F5C01EA99}"/>
    <hyperlink ref="B10" r:id="rId9" display="https://github.com/d-wkim/phd/blob/main/data/pdf/ahldén_2009.pdf" xr:uid="{A5836028-74EB-4B24-A197-3C96D747150F}"/>
    <hyperlink ref="B11" r:id="rId10" display="https://github.com/d-wkim/phd/blob/main/data/pdf/ahldén_2009.pdf" xr:uid="{9EDE8A43-935D-4CE7-BF3D-AD9440B1B70F}"/>
    <hyperlink ref="B12" r:id="rId11" display="https://github.com/d-wkim/phd/blob/main/data/pdf/ahldén_2009.pdf" xr:uid="{B2198B8C-84CC-4843-A820-CAB31C567442}"/>
    <hyperlink ref="B13" r:id="rId12" display="https://github.com/d-wkim/phd/blob/main/data/pdf/ahldén_2009.pdf" xr:uid="{46209153-B554-4877-AEB9-5A12F331C58E}"/>
    <hyperlink ref="B14" r:id="rId13" display="https://github.com/d-wkim/phd/blob/main/data/pdf/ahldén_2009.pdf" xr:uid="{7123289E-641E-46ED-B778-DF5EBC7CD185}"/>
    <hyperlink ref="B15" r:id="rId14" display="https://github.com/d-wkim/phd/blob/main/data/pdf/ahldén_2009.pdf" xr:uid="{AD0A1B3E-9C08-476C-B087-096E1429F48D}"/>
    <hyperlink ref="B16" r:id="rId15" display="https://github.com/d-wkim/phd/blob/main/data/pdf/anderson_2001.pdf" xr:uid="{B79F2BB1-E978-4598-BDCF-5E9C98E249F3}"/>
    <hyperlink ref="B17" r:id="rId16" display="https://github.com/d-wkim/phd/blob/main/data/pdf/anderson_2001.pdf" xr:uid="{936D1FFC-1C87-4AA1-A294-4B6557116ECE}"/>
    <hyperlink ref="B18" r:id="rId17" display="https://github.com/d-wkim/phd/blob/main/data/pdf/anderson_2001.pdf" xr:uid="{39129627-83A6-49D3-BBB1-30D9C42DA5EF}"/>
    <hyperlink ref="B19" r:id="rId18" display="https://github.com/d-wkim/phd/blob/main/data/pdf/anderson_2001.pdf" xr:uid="{694FF08A-0275-4FD6-99F6-699229806202}"/>
    <hyperlink ref="B20" r:id="rId19" display="https://github.com/d-wkim/phd/blob/main/data/pdf/anz_2023.pdf" xr:uid="{E93A238B-9619-4357-AACA-BDA0F29A88F6}"/>
    <hyperlink ref="B21" r:id="rId20" display="https://github.com/d-wkim/phd/blob/main/data/pdf/anz_2023.pdf" xr:uid="{24B5C340-CE1C-4A86-8409-A8ED1DD2E128}"/>
    <hyperlink ref="B22" r:id="rId21" display="https://github.com/d-wkim/phd/blob/main/data/pdf/aune_2001.pdf" xr:uid="{4BB123B7-376A-4EF3-9D40-84B92DE8A59B}"/>
    <hyperlink ref="B23" r:id="rId22" display="https://github.com/d-wkim/phd/blob/main/data/pdf/aune_2001.pdf" xr:uid="{D79BDB69-B590-451B-9020-D4F83292FC31}"/>
    <hyperlink ref="B24" r:id="rId23" display="https://github.com/d-wkim/phd/blob/main/data/pdf/barenius_2010.pdf" xr:uid="{C4F1F49A-9A07-4CE3-911E-1846A7A1509F}"/>
    <hyperlink ref="B25" r:id="rId24" display="https://github.com/d-wkim/phd/blob/main/data/pdf/barenius_2010.pdf" xr:uid="{39EB1303-C793-43E6-9C33-A10990391AC8}"/>
    <hyperlink ref="B26" r:id="rId25" display="https://github.com/d-wkim/phd/blob/main/data/pdf/barenius_2010.pdf" xr:uid="{45960577-A650-49BE-86B4-4CCA861C43F1}"/>
    <hyperlink ref="B27" r:id="rId26" display="https://github.com/d-wkim/phd/blob/main/data/pdf/barenius_2010.pdf" xr:uid="{CA8C0E90-93D6-4977-9977-03158AB8310E}"/>
    <hyperlink ref="B28" r:id="rId27" display="https://github.com/d-wkim/phd/blob/main/data/pdf/barié_2020.pdf" xr:uid="{A9FF3B38-3C5F-4BA9-8294-9C4608C29C70}"/>
    <hyperlink ref="B29" r:id="rId28" display="https://github.com/d-wkim/phd/blob/main/data/pdf/barié_2020.pdf" xr:uid="{EFA3AEE9-56AC-457B-87BE-C08FDFA39564}"/>
    <hyperlink ref="B30" r:id="rId29" display="https://github.com/d-wkim/phd/blob/main/data/pdf/barié_2020.pdf" xr:uid="{49648268-3756-4238-8F8B-2BDCE399B7C3}"/>
    <hyperlink ref="B31" r:id="rId30" display="https://github.com/d-wkim/phd/blob/main/data/pdf/barié_2020.pdf" xr:uid="{FD245036-1E5E-4EDB-BCEB-EA466917E469}"/>
    <hyperlink ref="B32" r:id="rId31" display="https://github.com/d-wkim/phd/blob/main/data/pdf/barié_2020.pdf" xr:uid="{F82FE0D2-8BA9-4203-85D2-53B98A15A629}"/>
    <hyperlink ref="B33" r:id="rId32" display="https://github.com/d-wkim/phd/blob/main/data/pdf/barié_2020.pdf" xr:uid="{FAAA41CC-B689-4814-877C-8EC5C790F515}"/>
    <hyperlink ref="B34" r:id="rId33" display="https://github.com/d-wkim/phd/blob/main/data/pdf/barié_2020.pdf" xr:uid="{D0AC51D5-A180-4AC5-ACD7-1CB261948042}"/>
    <hyperlink ref="B35" r:id="rId34" display="https://github.com/d-wkim/phd/blob/main/data/pdf/barié_2020.pdf" xr:uid="{CA0517D9-9F9E-4EA8-9033-18664F8DE9B6}"/>
    <hyperlink ref="B36" r:id="rId35" display="https://github.com/d-wkim/phd/blob/main/data/pdf/beynnon_2002.pdf" xr:uid="{3CD8748E-E023-4C82-810B-C3698787F94C}"/>
    <hyperlink ref="B37" r:id="rId36" display="https://github.com/d-wkim/phd/blob/main/data/pdf/beynnon_2002.pdf" xr:uid="{8BE391EF-1A5E-4C96-ACD0-90D61411A10F}"/>
    <hyperlink ref="B38" r:id="rId37" display="https://github.com/d-wkim/phd/blob/main/data/pdf/beynnon_2002.pdf" xr:uid="{3BFF49ED-47D3-4AFC-846E-53B679D53590}"/>
    <hyperlink ref="B39" r:id="rId38" display="https://github.com/d-wkim/phd/blob/main/data/pdf/beynnon_2002.pdf" xr:uid="{880AB98F-30A7-49D6-B7C2-F09B14D918EF}"/>
    <hyperlink ref="B40" r:id="rId39" display="https://github.com/d-wkim/phd/blob/main/data/pdf/bi_2018.pdf" xr:uid="{7074D5B2-C529-4078-8E21-5A5ED115DE3B}"/>
    <hyperlink ref="B41" r:id="rId40" display="https://github.com/d-wkim/phd/blob/main/data/pdf/bi_2018.pdf" xr:uid="{4AF1C4E9-9A17-4F21-92F5-FBE05AFF472A}"/>
    <hyperlink ref="B42" r:id="rId41" display="https://github.com/d-wkim/phd/blob/main/data/pdf/bi_2018.pdf" xr:uid="{1B2D4EE2-29F1-4368-9767-035B5ED5FED8}"/>
    <hyperlink ref="B43" r:id="rId42" display="https://github.com/d-wkim/phd/blob/main/data/pdf/bi_2018.pdf" xr:uid="{0FAAA499-3ABF-4D75-B38C-0772909AA5C9}"/>
    <hyperlink ref="B44" r:id="rId43" display="https://github.com/d-wkim/phd/blob/main/data/pdf/bi_2018.pdf" xr:uid="{81D87E74-4A25-46E7-980B-A135C2C6842E}"/>
    <hyperlink ref="B45" r:id="rId44" display="https://github.com/d-wkim/phd/blob/main/data/pdf/bi_2018.pdf" xr:uid="{FCC0DE81-1E54-4EDB-BEBB-11C6ECAAC30F}"/>
    <hyperlink ref="B46" r:id="rId45" display="https://github.com/d-wkim/phd/blob/main/data/pdf/björnsson_2016.pdf" xr:uid="{D9B8DDA0-B060-41E8-9B6D-9DC1B3CE0F8D}"/>
    <hyperlink ref="B47" r:id="rId46" display="https://github.com/d-wkim/phd/blob/main/data/pdf/björnsson_2016.pdf" xr:uid="{53F7ED0C-4A25-4A27-BC75-5F887C899251}"/>
    <hyperlink ref="B48" r:id="rId47" display="https://github.com/d-wkim/phd/blob/main/data/pdf/björnsson_2016.pdf" xr:uid="{73CAE3B1-9F9D-4D6A-B81C-08F30F1C910B}"/>
    <hyperlink ref="B49" r:id="rId48" display="https://github.com/d-wkim/phd/blob/main/data/pdf/björnsson_2016.pdf" xr:uid="{8612580A-929E-4DFD-9233-E9AA022BB24F}"/>
    <hyperlink ref="B50" r:id="rId49" display="https://github.com/d-wkim/phd/blob/main/data/pdf/björnsson_2016.pdf" xr:uid="{D7EE9BB4-BE1B-447A-AA31-B9624FDF0AEE}"/>
    <hyperlink ref="B51" r:id="rId50" display="https://github.com/d-wkim/phd/blob/main/data/pdf/björnsson_2016.pdf" xr:uid="{983BC872-3784-4D8D-9C9E-CF53BF9E2DDD}"/>
    <hyperlink ref="B52" r:id="rId51" display="https://github.com/d-wkim/phd/blob/main/data/pdf/björnsson_2016.pdf" xr:uid="{2E2DADC8-F97E-48DF-990D-0784B858A58A}"/>
    <hyperlink ref="B53" r:id="rId52" display="https://github.com/d-wkim/phd/blob/main/data/pdf/björnsson_2016.pdf" xr:uid="{7A533159-E41A-423C-B362-F930BEBD808B}"/>
    <hyperlink ref="B54" r:id="rId53" display="https://github.com/d-wkim/phd/blob/main/data/pdf/björnsson_2016.pdf" xr:uid="{E22084DE-5390-4225-B641-94293CF70ABF}"/>
    <hyperlink ref="B55" r:id="rId54" display="https://github.com/d-wkim/phd/blob/main/data/pdf/björnsson_2016.pdf" xr:uid="{0880A46F-1BDE-4D72-9BB3-864D61C86BD6}"/>
    <hyperlink ref="B56" r:id="rId55" display="https://github.com/d-wkim/phd/blob/main/data/pdf/bottoni_2015.pdf" xr:uid="{F3D03CDF-74B4-4EBC-B2F6-25B3DB2E8060}"/>
    <hyperlink ref="B57" r:id="rId56" display="https://github.com/d-wkim/phd/blob/main/data/pdf/bottoni_2015.pdf" xr:uid="{5B6F32F9-0B37-4066-BDC8-D3136F4642B9}"/>
    <hyperlink ref="B58" r:id="rId57" display="https://github.com/d-wkim/phd/blob/main/data/pdf/bottoni_2015.pdf" xr:uid="{08A48B9E-931A-4E2A-AFFF-10B536C55AB8}"/>
    <hyperlink ref="B59" r:id="rId58" display="https://github.com/d-wkim/phd/blob/main/data/pdf/bottoni_2015.pdf" xr:uid="{78D9710F-00D5-45B1-BA53-F34B34C5F37B}"/>
    <hyperlink ref="B60" r:id="rId59" display="https://github.com/d-wkim/phd/blob/main/data/pdf/butt_2024.pdf" xr:uid="{0B1473F9-775F-46D2-BF3F-8B7016BD0AD0}"/>
    <hyperlink ref="B61" r:id="rId60" display="https://github.com/d-wkim/phd/blob/main/data/pdf/butt_2024.pdf" xr:uid="{474D7034-3963-4933-8AD7-42D092875094}"/>
    <hyperlink ref="B62" r:id="rId61" display="https://github.com/d-wkim/phd/blob/main/data/pdf/butt_2024.pdf" xr:uid="{46E15B34-38DA-4551-BE78-0FA50F10164A}"/>
    <hyperlink ref="B63" r:id="rId62" display="https://github.com/d-wkim/phd/blob/main/data/pdf/butt_2024.pdf" xr:uid="{623A3A48-CE8C-467A-A5E9-7EC893025CDA}"/>
    <hyperlink ref="B64" r:id="rId63" display="https://github.com/d-wkim/phd/blob/main/data/pdf/calvert_2025.pdf" xr:uid="{67C74872-4AF8-4B49-B8C5-2D2EAA1B4BE2}"/>
    <hyperlink ref="B65" r:id="rId64" display="https://github.com/d-wkim/phd/blob/main/data/pdf/calvert_2025.pdf" xr:uid="{9BD357D1-C3D6-4FDE-A649-2E6AA89E4F76}"/>
    <hyperlink ref="B66" r:id="rId65" display="https://github.com/d-wkim/phd/blob/main/data/pdf/calvert_2025.pdf" xr:uid="{73A7EF46-D9E3-4978-9252-9F483B9FC73A}"/>
    <hyperlink ref="B67" r:id="rId66" display="https://github.com/d-wkim/phd/blob/main/data/pdf/calvert_2025.pdf" xr:uid="{6E202F4D-05B7-4FD6-A968-DE486A51A451}"/>
    <hyperlink ref="B68" r:id="rId67" display="https://github.com/d-wkim/phd/blob/main/data/pdf/ejerhed_2003.pdf" xr:uid="{23B6BC60-316F-457F-A391-E1636A1A8092}"/>
    <hyperlink ref="B69" r:id="rId68" display="https://github.com/d-wkim/phd/blob/main/data/pdf/ejerhed_2003.pdf" xr:uid="{9DDFC083-FDAA-4259-AEA0-AAE7E37629DE}"/>
    <hyperlink ref="B70" r:id="rId69" display="https://github.com/d-wkim/phd/blob/main/data/pdf/ejerhed_2003.pdf" xr:uid="{0FE17BCD-E208-4425-999C-C5D1B2334FE9}"/>
    <hyperlink ref="B71" r:id="rId70" display="https://github.com/d-wkim/phd/blob/main/data/pdf/ejerhed_2003.pdf" xr:uid="{1A01EADA-7F46-4A94-9A3A-F859EAD5A8C8}"/>
    <hyperlink ref="B72" r:id="rId71" display="https://github.com/d-wkim/phd/blob/main/data/pdf/ejerhed_2003.pdf" xr:uid="{6D550C9C-E3BD-41DE-9587-7E7C603BF991}"/>
    <hyperlink ref="B73" r:id="rId72" display="https://github.com/d-wkim/phd/blob/main/data/pdf/ejerhed_2003.pdf" xr:uid="{E11D5F3E-9D78-4B7B-A42C-17853E9BE333}"/>
    <hyperlink ref="B74" r:id="rId73" display="https://github.com/d-wkim/phd/blob/main/data/pdf/ejerhed_2003.pdf" xr:uid="{53FE0114-B19E-4B1C-9399-03B23F2EDDB5}"/>
    <hyperlink ref="B75" r:id="rId74" display="https://github.com/d-wkim/phd/blob/main/data/pdf/ejerhed_2003.pdf" xr:uid="{557A2C6B-89EF-4155-8E18-BC2D0BDEC5BE}"/>
    <hyperlink ref="B76" r:id="rId75" display="https://github.com/d-wkim/phd/blob/main/data/pdf/eriksson_2006.pdf" xr:uid="{814AD4E0-C8E9-413C-B904-397DA9FA42B8}"/>
    <hyperlink ref="B77" r:id="rId76" display="https://github.com/d-wkim/phd/blob/main/data/pdf/eriksson_2006.pdf" xr:uid="{B92E676D-BA8F-4D5E-AFFF-C31A9BB80860}"/>
    <hyperlink ref="B78" r:id="rId77" display="https://github.com/d-wkim/phd/blob/main/data/pdf/eriksson_2006.pdf" xr:uid="{CC22BF1A-083F-4BD8-AC17-FC2791100F8F}"/>
    <hyperlink ref="B79" r:id="rId78" display="https://github.com/d-wkim/phd/blob/main/data/pdf/eriksson_2006.pdf" xr:uid="{C10CD6A9-B36E-4135-A2C7-4A33CC4ADB96}"/>
    <hyperlink ref="B80" r:id="rId79" display="https://github.com/d-wkim/phd/blob/main/data/pdf/feller_webster_2003.pdf" xr:uid="{AB66C71D-05AD-4C25-87D0-3D479C6C7237}"/>
    <hyperlink ref="B81" r:id="rId80" display="https://github.com/d-wkim/phd/blob/main/data/pdf/feller_webster_2003.pdf" xr:uid="{E8D7A4D8-A17A-4D05-8452-04EA467E9626}"/>
    <hyperlink ref="B82" r:id="rId81" display="https://github.com/d-wkim/phd/blob/main/data/pdf/feller_webster_2003.pdf" xr:uid="{5AFCEBA9-3FD5-482E-B249-63E910B78D56}"/>
    <hyperlink ref="B83" r:id="rId82" display="https://github.com/d-wkim/phd/blob/main/data/pdf/feller_webster_2003.pdf" xr:uid="{6B00FF6F-0297-4065-BE10-C394197EC229}"/>
    <hyperlink ref="B84" r:id="rId83" display="https://github.com/d-wkim/phd/blob/main/data/pdf/feller_webster_2003.pdf" xr:uid="{921A863E-9D7E-4806-B9CE-01865678D71D}"/>
    <hyperlink ref="B85" r:id="rId84" display="https://github.com/d-wkim/phd/blob/main/data/pdf/feller_webster_2003.pdf" xr:uid="{21DA6F24-B346-402B-851F-AECCC90459A7}"/>
    <hyperlink ref="B86" r:id="rId85" display="https://github.com/d-wkim/phd/blob/main/data/pdf/gifstad_2013.pdf" xr:uid="{E0DEDB7B-248A-416B-8934-96D6532AB650}"/>
    <hyperlink ref="B87" r:id="rId86" display="https://github.com/d-wkim/phd/blob/main/data/pdf/gifstad_2013.pdf" xr:uid="{1451AF58-6561-486C-A556-2E4A9170CA1D}"/>
    <hyperlink ref="B88" r:id="rId87" display="https://github.com/d-wkim/phd/blob/main/data/pdf/gifstad_2013.pdf" xr:uid="{485340A0-F654-4BFA-B30F-B0B5AF4A8EC0}"/>
    <hyperlink ref="B89" r:id="rId88" display="https://github.com/d-wkim/phd/blob/main/data/pdf/gifstad_2013.pdf" xr:uid="{A052B1B4-5536-4288-AFA6-790CA615E9EF}"/>
    <hyperlink ref="B90" r:id="rId89" display="https://github.com/d-wkim/phd/blob/main/data/pdf/guglielmetti_2021.pdf" xr:uid="{9FC09DED-845D-4EAD-A457-9FDA7AB40B63}"/>
    <hyperlink ref="B91" r:id="rId90" display="https://github.com/d-wkim/phd/blob/main/data/pdf/guglielmetti_2021.pdf" xr:uid="{878EA087-94E2-4CFB-A585-A968D3B3CB3E}"/>
    <hyperlink ref="B92" r:id="rId91" display="https://github.com/d-wkim/phd/blob/main/data/pdf/guglielmetti_2021.pdf" xr:uid="{DDCF896E-AB4C-4979-8D5F-09E1679C06D6}"/>
    <hyperlink ref="B93" r:id="rId92" display="https://github.com/d-wkim/phd/blob/main/data/pdf/guglielmetti_2021.pdf" xr:uid="{12F4AE48-F542-4865-97B1-74FBC3261F61}"/>
    <hyperlink ref="B94" r:id="rId93" display="https://github.com/d-wkim/phd/blob/main/data/pdf/guglielmetti_2021.pdf" xr:uid="{10C1CFA3-FBE5-42DB-A880-EE046530E24A}"/>
    <hyperlink ref="B95" r:id="rId94" display="https://github.com/d-wkim/phd/blob/main/data/pdf/guglielmetti_2021.pdf" xr:uid="{8FD504C7-4530-439B-90DF-708448DFF0B1}"/>
    <hyperlink ref="B96" r:id="rId95" display="https://github.com/d-wkim/phd/blob/main/data/pdf/guglielmetti_2021.pdf" xr:uid="{F0A083EB-A39A-460A-A2C3-C7BCBE4F8263}"/>
    <hyperlink ref="B97" r:id="rId96" display="https://github.com/d-wkim/phd/blob/main/data/pdf/guglielmetti_2021.pdf" xr:uid="{56DFAC8F-ED87-4252-B415-2FD9771FF316}"/>
    <hyperlink ref="B98" r:id="rId97" display="https://github.com/d-wkim/phd/blob/main/data/pdf/harilainen_2006.pdf" xr:uid="{A91FB871-32A4-4706-9E15-7B3898B8E1F7}"/>
    <hyperlink ref="B99" r:id="rId98" display="https://github.com/d-wkim/phd/blob/main/data/pdf/harilainen_2006.pdf" xr:uid="{2454BBE6-ED8D-4D3B-AB42-E6A9F4C97F46}"/>
    <hyperlink ref="B100" r:id="rId99" display="https://github.com/d-wkim/phd/blob/main/data/pdf/harilainen_2006.pdf" xr:uid="{D435917E-6F9F-432D-8AC8-512879759892}"/>
    <hyperlink ref="B101" r:id="rId100" display="https://github.com/d-wkim/phd/blob/main/data/pdf/harilainen_2006.pdf" xr:uid="{96FCC59C-E51D-448B-BBC2-74456B55A78D}"/>
    <hyperlink ref="B102" r:id="rId101" display="https://github.com/d-wkim/phd/blob/main/data/pdf/harilainen_2006.pdf" xr:uid="{3D079C84-6041-43ED-B726-BDC36CE0789F}"/>
    <hyperlink ref="B103" r:id="rId102" display="https://github.com/d-wkim/phd/blob/main/data/pdf/harilainen_2006.pdf" xr:uid="{D6E6737F-1FFC-4809-8185-EDD8303D51C6}"/>
    <hyperlink ref="B104" r:id="rId103" display="https://github.com/d-wkim/phd/blob/main/data/pdf/harilainen_2006.pdf" xr:uid="{E187D6B1-5B6F-47C3-8E8D-EA0DD73ABAD0}"/>
    <hyperlink ref="B105" r:id="rId104" display="https://github.com/d-wkim/phd/blob/main/data/pdf/harilainen_2006.pdf" xr:uid="{9587847F-0190-4BB0-95E4-79E4E95D864E}"/>
    <hyperlink ref="B106" r:id="rId105" display="https://github.com/d-wkim/phd/blob/main/data/pdf/harilainen_2006.pdf" xr:uid="{CCE82806-7B26-4B3D-90D7-14FCDF9C050D}"/>
    <hyperlink ref="B107" r:id="rId106" display="https://github.com/d-wkim/phd/blob/main/data/pdf/harilainen_2006.pdf" xr:uid="{19B19797-AA53-48B8-B2B1-A10C21E12CFC}"/>
    <hyperlink ref="B108" r:id="rId107" display="https://github.com/d-wkim/phd/blob/main/data/pdf/heijne_werner_2010.pdf" xr:uid="{30B892D6-D85A-4934-9EDA-DABAC53235F7}"/>
    <hyperlink ref="B109" r:id="rId108" display="https://github.com/d-wkim/phd/blob/main/data/pdf/heijne_werner_2010.pdf" xr:uid="{06B1E209-B74B-43DE-95C9-6538411660FE}"/>
    <hyperlink ref="B110" r:id="rId109" display="https://github.com/d-wkim/phd/blob/main/data/pdf/heijne_werner_2010.pdf" xr:uid="{86DB9DEA-2FF2-4DB8-BAD5-25A1CD60FF10}"/>
    <hyperlink ref="B111" r:id="rId110" display="https://github.com/d-wkim/phd/blob/main/data/pdf/heijne_werner_2010.pdf" xr:uid="{1DBCCBDD-E86A-48BA-9F29-C72F9506183C}"/>
    <hyperlink ref="B112" r:id="rId111" display="https://github.com/d-wkim/phd/blob/main/data/pdf/holm_2010.pdf" xr:uid="{9AC4D524-067C-4082-A26A-9F9857EFD547}"/>
    <hyperlink ref="B113" r:id="rId112" display="https://github.com/d-wkim/phd/blob/main/data/pdf/holm_2010.pdf" xr:uid="{9B6E125D-68B6-4DD5-852B-BCA98235205D}"/>
    <hyperlink ref="B114" r:id="rId113" display="https://github.com/d-wkim/phd/blob/main/data/pdf/holm_2010.pdf" xr:uid="{17135518-8E5C-437D-838C-27B86B848370}"/>
    <hyperlink ref="B115" r:id="rId114" display="https://github.com/d-wkim/phd/blob/main/data/pdf/holm_2010.pdf" xr:uid="{BDFEE527-E7EC-46A0-926E-584A9A9AAD03}"/>
    <hyperlink ref="B116" r:id="rId115" display="https://github.com/d-wkim/phd/blob/main/data/pdf/horstmann_2022.pdf" xr:uid="{621C5C63-E177-4494-8C0A-9D153B92586E}"/>
    <hyperlink ref="B117" r:id="rId116" display="https://github.com/d-wkim/phd/blob/main/data/pdf/horstmann_2022.pdf" xr:uid="{E9450799-6635-4BC4-8A80-A043B888889E}"/>
    <hyperlink ref="B118" r:id="rId117" display="https://github.com/d-wkim/phd/blob/main/data/pdf/horstmann_2022.pdf" xr:uid="{CD17241A-E7B9-495E-B6E6-06F660267CE2}"/>
    <hyperlink ref="B119" r:id="rId118" display="https://github.com/d-wkim/phd/blob/main/data/pdf/horstmann_2022.pdf" xr:uid="{B59CCCB4-F02C-43A1-BA06-7AC8A62F8D3F}"/>
    <hyperlink ref="B120" r:id="rId119" display="https://github.com/d-wkim/phd/blob/main/data/pdf/horstmann_2022.pdf" xr:uid="{8BC1F18F-0804-4BD1-8170-DCEA5C9669E0}"/>
    <hyperlink ref="B121" r:id="rId120" display="https://github.com/d-wkim/phd/blob/main/data/pdf/horstmann_2022.pdf" xr:uid="{6F6A2D33-2A49-4EA2-819C-B4D634D388ED}"/>
    <hyperlink ref="B122" r:id="rId121" display="https://github.com/d-wkim/phd/blob/main/data/pdf/horstmann_2022.pdf" xr:uid="{18D3AFF8-896C-48E0-9A43-EB582FD787F9}"/>
    <hyperlink ref="B123" r:id="rId122" display="https://github.com/d-wkim/phd/blob/main/data/pdf/horstmann_2022.pdf" xr:uid="{D96483EC-7329-41BD-96A9-D3EE93AAEA0B}"/>
    <hyperlink ref="B124" r:id="rId123" display="https://github.com/d-wkim/phd/blob/main/data/pdf/ibrahim_2005.pdf" xr:uid="{5C3EC546-B27B-4D52-B25B-A9DD97FA6C8B}"/>
    <hyperlink ref="B125" r:id="rId124" display="https://github.com/d-wkim/phd/blob/main/data/pdf/ibrahim_2005.pdf" xr:uid="{5F94EBDD-DC4F-45B1-B492-2C8DCEFDE27E}"/>
    <hyperlink ref="B126" r:id="rId125" display="https://github.com/d-wkim/phd/blob/main/data/pdf/ibrahim_2005.pdf" xr:uid="{88A2C0D8-03DB-4B67-BD5E-BF3EA014C40B}"/>
    <hyperlink ref="B127" r:id="rId126" display="https://github.com/d-wkim/phd/blob/main/data/pdf/ibrahim_2005.pdf" xr:uid="{6EDD4A89-3A84-4377-AA8B-AEFAE3F9AF69}"/>
    <hyperlink ref="B128" r:id="rId127" display="https://github.com/d-wkim/phd/blob/main/data/pdf/ibrahim_2005.pdf" xr:uid="{7A3BA8F8-8AD7-43D7-B6ED-E63C67B925EE}"/>
    <hyperlink ref="B129" r:id="rId128" display="https://github.com/d-wkim/phd/blob/main/data/pdf/ibrahim_2005.pdf" xr:uid="{EB027927-30D7-45B4-9731-F7ACBE265237}"/>
    <hyperlink ref="B130" r:id="rId129" display="https://github.com/d-wkim/phd/blob/main/data/pdf/iliopoulos_2017.pdf" xr:uid="{7A64A2EF-7FE9-416D-829E-A39C29E59F72}"/>
    <hyperlink ref="B131" r:id="rId130" display="https://github.com/d-wkim/phd/blob/main/data/pdf/iliopoulos_2017.pdf" xr:uid="{B09E8F17-C46C-4902-BD78-A49227A5DFED}"/>
    <hyperlink ref="B132" r:id="rId131" display="https://github.com/d-wkim/phd/blob/main/data/pdf/iliopoulos_2017.pdf" xr:uid="{78B60554-6C01-4472-AEE7-2D9E536E9B6E}"/>
    <hyperlink ref="B133" r:id="rId132" display="https://github.com/d-wkim/phd/blob/main/data/pdf/iliopoulos_2017.pdf" xr:uid="{75DBC12A-C42C-47D4-87E8-5D62A1308A38}"/>
    <hyperlink ref="B134" r:id="rId133" display="https://github.com/d-wkim/phd/blob/main/data/pdf/jansson_2003.pdf" xr:uid="{EDB05CFF-829B-4B83-9CB3-835600A1CA16}"/>
    <hyperlink ref="B135" r:id="rId134" display="https://github.com/d-wkim/phd/blob/main/data/pdf/jansson_2003.pdf" xr:uid="{73863897-75C7-4731-8EBC-2A21E18E8581}"/>
    <hyperlink ref="B136" r:id="rId135" display="https://github.com/d-wkim/phd/blob/main/data/pdf/jansson_2003.pdf" xr:uid="{D355AB4E-7A9B-40A1-A339-0435898E6937}"/>
    <hyperlink ref="B137" r:id="rId136" display="https://github.com/d-wkim/phd/blob/main/data/pdf/jansson_2003.pdf" xr:uid="{B0F7E2C0-E58D-4AF0-B2F8-71E5CB09A7F5}"/>
    <hyperlink ref="B138" r:id="rId137" display="https://github.com/d-wkim/phd/blob/main/data/pdf/jansson_2003.pdf" xr:uid="{1FE48AD9-6AC5-479E-AD70-C61265A4FD04}"/>
    <hyperlink ref="B139" r:id="rId138" display="https://github.com/d-wkim/phd/blob/main/data/pdf/jansson_2003.pdf" xr:uid="{B356FE9E-85CC-4633-BB71-5E9FB159C753}"/>
    <hyperlink ref="B140" r:id="rId139" display="https://github.com/d-wkim/phd/blob/main/data/pdf/jansson_2003.pdf" xr:uid="{4973E1E4-A960-443F-A543-5DF4E629D5EB}"/>
    <hyperlink ref="B141" r:id="rId140" display="https://github.com/d-wkim/phd/blob/main/data/pdf/jansson_2003.pdf" xr:uid="{0138C396-7745-40B4-8D0A-84CF756FBE48}"/>
    <hyperlink ref="B142" r:id="rId141" display="https://github.com/d-wkim/phd/blob/main/data/pdf/kautzner_2015.pdf" xr:uid="{4FD61C6F-9990-4EC3-95DB-CA3C827F05EF}"/>
    <hyperlink ref="B143" r:id="rId142" display="https://github.com/d-wkim/phd/blob/main/data/pdf/kautzner_2015.pdf" xr:uid="{8CE26E6D-4551-4E22-AC37-8CFC930B58AD}"/>
    <hyperlink ref="B144" r:id="rId143" display="https://github.com/d-wkim/phd/blob/main/data/pdf/kautzner_2015.pdf" xr:uid="{4F31094C-9D30-4E98-A67F-D3224CF89FF0}"/>
    <hyperlink ref="B145" r:id="rId144" display="https://github.com/d-wkim/phd/blob/main/data/pdf/kautzner_2015.pdf" xr:uid="{16B9AB4E-4E22-499B-BEB7-F955E100A086}"/>
    <hyperlink ref="B146" r:id="rId145" display="https://github.com/d-wkim/phd/blob/main/data/pdf/kautzner_2015.pdf" xr:uid="{CEAC36D3-BBB2-4E93-AEE1-8CB8F091DA1B}"/>
    <hyperlink ref="B147" r:id="rId146" display="https://github.com/d-wkim/phd/blob/main/data/pdf/kautzner_2015.pdf" xr:uid="{A9CF0577-AC10-4544-9E30-AA3A0FD80CF8}"/>
    <hyperlink ref="B148" r:id="rId147" display="https://github.com/d-wkim/phd/blob/main/data/pdf/komzak_2022.pdf" xr:uid="{602879A0-2FE9-48D0-BCEA-50F141D44EC1}"/>
    <hyperlink ref="B149" r:id="rId148" display="https://github.com/d-wkim/phd/blob/main/data/pdf/komzak_2022.pdf" xr:uid="{D57A549B-4465-4DA2-B80F-B4B67222CD1D}"/>
    <hyperlink ref="B150" r:id="rId149" display="https://github.com/d-wkim/phd/blob/main/data/pdf/komzak_2022.pdf" xr:uid="{F04C7515-59AD-4650-B687-84EF580EC0B1}"/>
    <hyperlink ref="B151" r:id="rId150" display="https://github.com/d-wkim/phd/blob/main/data/pdf/komzak_2022.pdf" xr:uid="{0A4288AB-C4FB-4807-89BD-1888686866FD}"/>
    <hyperlink ref="B152" r:id="rId151" display="https://github.com/d-wkim/phd/blob/main/data/pdf/konrads_2016.pdf" xr:uid="{B8671918-CBC1-4D7D-A003-EC0E622E356D}"/>
    <hyperlink ref="B153" r:id="rId152" display="https://github.com/d-wkim/phd/blob/main/data/pdf/konrads_2016.pdf" xr:uid="{CFAAD7A5-CC31-4215-96E1-D2B3A1365E4D}"/>
    <hyperlink ref="B154" r:id="rId153" display="https://github.com/d-wkim/phd/blob/main/data/pdf/konrads_2016.pdf" xr:uid="{4C2582D8-26D8-402C-AB1F-DBF5C5A51671}"/>
    <hyperlink ref="B155" r:id="rId154" display="https://github.com/d-wkim/phd/blob/main/data/pdf/konrads_2016.pdf" xr:uid="{CA7A8648-AED8-4717-B9D3-1E643921895B}"/>
    <hyperlink ref="B156" r:id="rId155" display="https://github.com/d-wkim/phd/blob/main/data/pdf/konrads_2016.pdf" xr:uid="{4B7ACBF9-1EDB-44EA-9177-1304D0EB2BCB}"/>
    <hyperlink ref="B157" r:id="rId156" display="https://github.com/d-wkim/phd/blob/main/data/pdf/konrads_2016.pdf" xr:uid="{DF6F2B87-D9A0-4763-914B-56A6542AF900}"/>
    <hyperlink ref="B158" r:id="rId157" display="https://github.com/d-wkim/phd/blob/main/data/pdf/konrads_2016.pdf" xr:uid="{1D749507-74AE-4560-A069-6B790E2A596B}"/>
    <hyperlink ref="B159" r:id="rId158" display="https://github.com/d-wkim/phd/blob/main/data/pdf/konrads_2016.pdf" xr:uid="{370E6DCF-675F-47E5-9693-7A8544105289}"/>
    <hyperlink ref="B160" r:id="rId159" display="https://github.com/d-wkim/phd/blob/main/data/pdf/laoruengthana_2009.pdf" xr:uid="{9F67E577-9E60-489F-9043-7A9D98C2A6B9}"/>
    <hyperlink ref="B161" r:id="rId160" display="https://github.com/d-wkim/phd/blob/main/data/pdf/laoruengthana_2009.pdf" xr:uid="{ACC1FBCB-387F-4F54-B443-BC85F1233ED1}"/>
    <hyperlink ref="B162" r:id="rId161" display="https://github.com/d-wkim/phd/blob/main/data/pdf/laoruengthana_2009.pdf" xr:uid="{43F3D398-DA58-4047-857C-C7A42A92C098}"/>
    <hyperlink ref="B163" r:id="rId162" display="https://github.com/d-wkim/phd/blob/main/data/pdf/laoruengthana_2009.pdf" xr:uid="{B27FD50D-461D-4586-81FC-8C84C3B6AA6A}"/>
    <hyperlink ref="B164" r:id="rId163" display="https://github.com/d-wkim/phd/blob/main/data/pdf/lawhorn_2012.pdf" xr:uid="{ADDDF5A2-CC58-40DA-881F-99DCE7B56C03}"/>
    <hyperlink ref="B165" r:id="rId164" display="https://github.com/d-wkim/phd/blob/main/data/pdf/lawhorn_2012.pdf" xr:uid="{46B1CBF0-F7F1-4B46-9E54-C9EA93A7D8B7}"/>
    <hyperlink ref="B166" r:id="rId165" display="https://github.com/d-wkim/phd/blob/main/data/pdf/laxdal_2005.pdf" xr:uid="{E1BAAFE6-CC21-4A57-99E5-2638D73FC73D}"/>
    <hyperlink ref="B167" r:id="rId166" display="https://github.com/d-wkim/phd/blob/main/data/pdf/laxdal_2005.pdf" xr:uid="{D6645F9A-9CF0-411F-B046-FFCD9D769CA2}"/>
    <hyperlink ref="B168" r:id="rId167" display="https://github.com/d-wkim/phd/blob/main/data/pdf/laxdal_2005.pdf" xr:uid="{F5FA0F84-BB77-429F-ACD4-3B25A03D8F1D}"/>
    <hyperlink ref="B169" r:id="rId168" display="https://github.com/d-wkim/phd/blob/main/data/pdf/laxdal_2005.pdf" xr:uid="{33BE3BD0-D7D3-48F7-8D11-28E53C5CA913}"/>
    <hyperlink ref="B170" r:id="rId169" display="https://github.com/d-wkim/phd/blob/main/data/pdf/laxdal_2005.pdf" xr:uid="{1CD669BC-5F1F-4853-8DF0-43E78DB942F5}"/>
    <hyperlink ref="B171" r:id="rId170" display="https://github.com/d-wkim/phd/blob/main/data/pdf/laxdal_2005.pdf" xr:uid="{2E85DCC9-9D9D-4D23-BDF3-103ACD9CC5EC}"/>
    <hyperlink ref="B172" r:id="rId171" display="https://github.com/d-wkim/phd/blob/main/data/pdf/laxdal_2005.pdf" xr:uid="{9B36175C-E4D6-48B8-B39E-7C0448211816}"/>
    <hyperlink ref="B173" r:id="rId172" display="https://github.com/d-wkim/phd/blob/main/data/pdf/laxdal_2005.pdf" xr:uid="{ACF32947-8B0F-4499-90EE-5FC07D7EFFCC}"/>
    <hyperlink ref="B174" r:id="rId173" display="https://github.com/d-wkim/phd/blob/main/data/pdf/li_2015.pdf" xr:uid="{C81163B2-3E9D-4FEF-BBDA-54E7B69394B7}"/>
    <hyperlink ref="B175" r:id="rId174" display="https://github.com/d-wkim/phd/blob/main/data/pdf/li_2015.pdf" xr:uid="{D8858011-DBE7-48E3-BB4C-E65FE78E8D3C}"/>
    <hyperlink ref="B176" r:id="rId175" display="https://github.com/d-wkim/phd/blob/main/data/pdf/li_2015.pdf" xr:uid="{D6ADD602-3F82-4612-8E0F-607223434360}"/>
    <hyperlink ref="B177" r:id="rId176" display="https://github.com/d-wkim/phd/blob/main/data/pdf/li_2015.pdf" xr:uid="{F02597BA-7D0B-48B1-912F-40FA701C52A0}"/>
    <hyperlink ref="B178" r:id="rId177" display="https://github.com/d-wkim/phd/blob/main/data/pdf/li_2015.pdf" xr:uid="{6636AB35-2A74-4716-BD58-818B8E4E8FBF}"/>
    <hyperlink ref="B179" r:id="rId178" display="https://github.com/d-wkim/phd/blob/main/data/pdf/li_2015.pdf" xr:uid="{DE091492-8B61-4887-9A3D-029439B41065}"/>
    <hyperlink ref="B180" r:id="rId179" display="https://github.com/d-wkim/phd/blob/main/data/pdf/li_2015.pdf" xr:uid="{2957C016-E3AE-4133-8D58-31989B8FAA07}"/>
    <hyperlink ref="B181" r:id="rId180" display="https://github.com/d-wkim/phd/blob/main/data/pdf/li_2015.pdf" xr:uid="{F618D18D-B269-46D1-9350-779F4D6C1975}"/>
    <hyperlink ref="B182" r:id="rId181" display="https://github.com/d-wkim/phd/blob/main/data/pdf/li_2015.pdf" xr:uid="{3626C28F-893C-4886-A4AB-17F0B6DEEC32}"/>
    <hyperlink ref="B183" r:id="rId182" display="https://github.com/d-wkim/phd/blob/main/data/pdf/li_2015.pdf" xr:uid="{F95CE34A-8F13-483D-B007-977A9B0323C9}"/>
    <hyperlink ref="B184" r:id="rId183" display="https://github.com/d-wkim/phd/blob/main/data/pdf/li_2015.pdf" xr:uid="{D3BA71A7-2AD0-454D-9598-75ED84E0D672}"/>
    <hyperlink ref="B185" r:id="rId184" display="https://github.com/d-wkim/phd/blob/main/data/pdf/li_2015.pdf" xr:uid="{B7A14237-E2AB-4FB3-825D-9E55AA6BF703}"/>
    <hyperlink ref="B186" r:id="rId185" display="https://github.com/d-wkim/phd/blob/main/data/pdf/lidén_2007.pdf" xr:uid="{56BDCC45-4110-4265-9577-AA9A4D08576B}"/>
    <hyperlink ref="B187" r:id="rId186" display="https://github.com/d-wkim/phd/blob/main/data/pdf/lidén_2007.pdf" xr:uid="{2A16B624-8667-4C5E-B768-2128C849FC8C}"/>
    <hyperlink ref="B188" r:id="rId187" display="https://github.com/d-wkim/phd/blob/main/data/pdf/lidén_2007.pdf" xr:uid="{0522A03D-534A-4277-8F59-A638C69297EA}"/>
    <hyperlink ref="B189" r:id="rId188" display="https://github.com/d-wkim/phd/blob/main/data/pdf/lidén_2007.pdf" xr:uid="{6ED4ED61-D97D-4228-8DC1-A9FD4E3EAFC5}"/>
    <hyperlink ref="B190" r:id="rId189" display="https://github.com/d-wkim/phd/blob/main/data/pdf/lidén_2007.pdf" xr:uid="{7F105DB9-F683-4BAF-81EE-6C3E1BDDB226}"/>
    <hyperlink ref="B191" r:id="rId190" display="https://github.com/d-wkim/phd/blob/main/data/pdf/lidén_2007.pdf" xr:uid="{E8B1F950-26D3-40FF-A628-6206CAD804BF}"/>
    <hyperlink ref="B192" r:id="rId191" display="https://github.com/d-wkim/phd/blob/main/data/pdf/lidén_2007.pdf" xr:uid="{EA0E2641-38A4-41E7-8DC6-3B1C5ADEC745}"/>
    <hyperlink ref="B193" r:id="rId192" display="https://github.com/d-wkim/phd/blob/main/data/pdf/lidén_2007.pdf" xr:uid="{C66F5F97-EC4E-4EFB-98A4-B50D456A2A44}"/>
    <hyperlink ref="B194" r:id="rId193" display="https://github.com/d-wkim/phd/blob/main/data/pdf/lind_2020.pdf" xr:uid="{5EC8E43A-F980-461C-A256-A207EA35246C}"/>
    <hyperlink ref="B195" r:id="rId194" display="https://github.com/d-wkim/phd/blob/main/data/pdf/lind_2020.pdf" xr:uid="{B122D4E6-D99D-4114-B923-17086998EC59}"/>
    <hyperlink ref="B196" r:id="rId195" display="https://github.com/d-wkim/phd/blob/main/data/pdf/lind_2020.pdf" xr:uid="{D7DD8E50-0BC0-4F1C-8066-61780A62A318}"/>
    <hyperlink ref="B197" r:id="rId196" display="https://github.com/d-wkim/phd/blob/main/data/pdf/lind_2020.pdf" xr:uid="{CD173022-38CB-45E9-8E8F-297EF16A57E1}"/>
    <hyperlink ref="B198" r:id="rId197" display="https://github.com/d-wkim/phd/blob/main/data/pdf/lind_2020.pdf" xr:uid="{38E88889-7630-4944-BEB3-22A920815ED3}"/>
    <hyperlink ref="B199" r:id="rId198" display="https://github.com/d-wkim/phd/blob/main/data/pdf/lind_2020.pdf" xr:uid="{32ED5E7A-4680-4CD1-AC25-C41A4E8AB4FC}"/>
    <hyperlink ref="B200" r:id="rId199" display="https://github.com/d-wkim/phd/blob/main/data/pdf/lind_2020.pdf" xr:uid="{17C21EAC-5FE5-48E9-8830-02794DC839A3}"/>
    <hyperlink ref="B201" r:id="rId200" display="https://github.com/d-wkim/phd/blob/main/data/pdf/lind_2020.pdf" xr:uid="{DF10CE17-94B0-4A10-9330-0797E53739F6}"/>
    <hyperlink ref="B202" r:id="rId201" display="https://github.com/d-wkim/phd/blob/main/data/pdf/lucidi_2025.pdf" xr:uid="{F9E34F3D-1D5A-49CA-8B56-A101F8D1F340}"/>
    <hyperlink ref="B203" r:id="rId202" display="https://github.com/d-wkim/phd/blob/main/data/pdf/lucidi_2025.pdf" xr:uid="{D28F0440-32DD-46CC-B8C6-3F4069C2E53F}"/>
    <hyperlink ref="B204" r:id="rId203" display="https://github.com/d-wkim/phd/blob/main/data/pdf/lucidi_2025.pdf" xr:uid="{332C5188-DD37-4CA5-90E6-9E0F1566A302}"/>
    <hyperlink ref="B205" r:id="rId204" display="https://github.com/d-wkim/phd/blob/main/data/pdf/lucidi_2025.pdf" xr:uid="{A7B512C8-A6AA-4755-827F-C8D19E996FB2}"/>
    <hyperlink ref="B206" r:id="rId205" display="https://github.com/d-wkim/phd/blob/main/data/pdf/lucidi_2025.pdf" xr:uid="{6A93A963-7BF1-4E93-91F7-CB8A2414C01F}"/>
    <hyperlink ref="B207" r:id="rId206" display="https://github.com/d-wkim/phd/blob/main/data/pdf/lucidi_2025.pdf" xr:uid="{F9523CCE-116C-4959-837C-AB26F2D8F638}"/>
    <hyperlink ref="B208" r:id="rId207" display="https://github.com/d-wkim/phd/blob/main/data/pdf/lucidi_2025.pdf" xr:uid="{7FA95ACD-A98B-4045-96BE-661496B57B0B}"/>
    <hyperlink ref="B209" r:id="rId208" display="https://github.com/d-wkim/phd/blob/main/data/pdf/lucidi_2025.pdf" xr:uid="{DBB2A8A7-1289-4D56-BE94-E3C8D3E65A24}"/>
    <hyperlink ref="B210" r:id="rId209" display="https://github.com/d-wkim/phd/blob/main/data/pdf/lucidi_2025.pdf" xr:uid="{BD06ED67-B86F-4BF8-8D70-B0803A1D2977}"/>
    <hyperlink ref="B211" r:id="rId210" display="https://github.com/d-wkim/phd/blob/main/data/pdf/lucidi_2025.pdf" xr:uid="{B456C8EC-CD62-4CFF-B7A7-B4BB3374D97A}"/>
    <hyperlink ref="B212" r:id="rId211" display="https://github.com/d-wkim/phd/blob/main/data/pdf/lucidi_2025.pdf" xr:uid="{0D5703EF-01B6-4DA5-8CD8-01027872C730}"/>
    <hyperlink ref="B213" r:id="rId212" display="https://github.com/d-wkim/phd/blob/main/data/pdf/lucidi_2025.pdf" xr:uid="{1F90ABB5-9624-4C09-BCA7-A56D9C7906A7}"/>
    <hyperlink ref="B214" r:id="rId213" display="https://github.com/d-wkim/phd/blob/main/data/pdf/lui_2012.pdf" xr:uid="{9AE6D677-6EB3-4BFC-AAED-BC217A23B46E}"/>
    <hyperlink ref="B215" r:id="rId214" display="https://github.com/d-wkim/phd/blob/main/data/pdf/lui_2012.pdf" xr:uid="{63EA7E88-CFFB-4D13-A341-FF71AE11E387}"/>
    <hyperlink ref="B216" r:id="rId215" display="https://github.com/d-wkim/phd/blob/main/data/pdf/lui_2012.pdf" xr:uid="{8D872C91-C7C1-4DFF-A96E-95A00DDF543F}"/>
    <hyperlink ref="B217" r:id="rId216" display="https://github.com/d-wkim/phd/blob/main/data/pdf/lui_2012.pdf" xr:uid="{7B3B8AC6-D9DF-4102-8253-23A1F7FF439F}"/>
    <hyperlink ref="B218" r:id="rId217" display="https://github.com/d-wkim/phd/blob/main/data/pdf/lui_2012.pdf" xr:uid="{FB9A0383-F2AF-452D-BC3B-CC4083E2667F}"/>
    <hyperlink ref="B219" r:id="rId218" display="https://github.com/d-wkim/phd/blob/main/data/pdf/lui_2012.pdf" xr:uid="{BF156E13-6133-4B1C-8AB4-358AB514780D}"/>
    <hyperlink ref="B220" r:id="rId219" display="https://github.com/d-wkim/phd/blob/main/data/pdf/lui_2012.pdf" xr:uid="{0417F823-5A8E-4962-973A-38E3A809FE2D}"/>
    <hyperlink ref="B221" r:id="rId220" display="https://github.com/d-wkim/phd/blob/main/data/pdf/lui_2012.pdf" xr:uid="{B4E92E8E-4854-43ED-83A0-29ED3111259D}"/>
    <hyperlink ref="B222" r:id="rId221" display="https://github.com/d-wkim/phd/blob/main/data/pdf/lund_2014.pdf" xr:uid="{A1E7DBC4-2DC3-4D9C-99D1-9E117C7B7C95}"/>
    <hyperlink ref="B223" r:id="rId222" display="https://github.com/d-wkim/phd/blob/main/data/pdf/lund_2014.pdf" xr:uid="{8506B6B2-7498-438C-8BB7-B6195E10F35C}"/>
    <hyperlink ref="B224" r:id="rId223" display="https://github.com/d-wkim/phd/blob/main/data/pdf/lund_2014.pdf" xr:uid="{AE558896-50A4-456F-AE99-A0E22D16DED0}"/>
    <hyperlink ref="B225" r:id="rId224" display="https://github.com/d-wkim/phd/blob/main/data/pdf/lund_2014.pdf" xr:uid="{4DB459B1-702B-4F23-8F7C-2B97B54153A5}"/>
    <hyperlink ref="B226" r:id="rId225" display="https://github.com/d-wkim/phd/blob/main/data/pdf/lund_2014.pdf" xr:uid="{D6717A76-3454-4F69-8614-031EF504CD8D}"/>
    <hyperlink ref="B227" r:id="rId226" display="https://github.com/d-wkim/phd/blob/main/data/pdf/lund_2014.pdf" xr:uid="{8C1277DF-E2E0-4DAD-A90A-AF50C2536DF6}"/>
    <hyperlink ref="B228" r:id="rId227" display="https://github.com/d-wkim/phd/blob/main/data/pdf/malik_2026.pdf" xr:uid="{34CD577E-7D4B-4D14-B031-B7F8B5113E2B}"/>
    <hyperlink ref="B229" r:id="rId228" display="https://github.com/d-wkim/phd/blob/main/data/pdf/malik_2026.pdf" xr:uid="{798BBF9A-F7A3-4398-8BCA-C42BECB1E1C9}"/>
    <hyperlink ref="B230" r:id="rId229" display="https://github.com/d-wkim/phd/blob/main/data/pdf/malik_2026.pdf" xr:uid="{0D3F4AD4-741A-47A3-9FEF-DD14BE6CE11D}"/>
    <hyperlink ref="B231" r:id="rId230" display="https://github.com/d-wkim/phd/blob/main/data/pdf/malik_2026.pdf" xr:uid="{AA6DBCDA-1CBE-4CF4-BC5D-E101F4886AB1}"/>
    <hyperlink ref="B232" r:id="rId231" display="https://github.com/d-wkim/phd/blob/main/data/pdf/malik_2026.pdf" xr:uid="{C176D376-2F30-4262-9A02-2B4401E0E169}"/>
    <hyperlink ref="B233" r:id="rId232" display="https://github.com/d-wkim/phd/blob/main/data/pdf/malik_2026.pdf" xr:uid="{0604DA03-C165-4635-8322-13942D0D0071}"/>
    <hyperlink ref="B234" r:id="rId233" display="https://github.com/d-wkim/phd/blob/main/data/pdf/malik_2026.pdf" xr:uid="{C8C41344-BAC0-46B7-9535-1FB414B7146B}"/>
    <hyperlink ref="B235" r:id="rId234" display="https://github.com/d-wkim/phd/blob/main/data/pdf/malik_2026.pdf" xr:uid="{5D9F05DD-AE52-4DCD-8D41-03A1BA7F7020}"/>
    <hyperlink ref="B236" r:id="rId235" display="https://github.com/d-wkim/phd/blob/main/data/pdf/malik_2026.pdf" xr:uid="{14EB5C91-570C-4BA9-A966-C0E6468646C2}"/>
    <hyperlink ref="B237" r:id="rId236" display="https://github.com/d-wkim/phd/blob/main/data/pdf/malik_2026.pdf" xr:uid="{3BBE940C-7EFF-4216-AC78-43151190DD43}"/>
    <hyperlink ref="B238" r:id="rId237" display="https://github.com/d-wkim/phd/blob/main/data/pdf/malik_2026.pdf" xr:uid="{8E4E9206-D86F-4A11-8131-A1CD8ECDC7F5}"/>
    <hyperlink ref="B239" r:id="rId238" display="https://github.com/d-wkim/phd/blob/main/data/pdf/malik_2026.pdf" xr:uid="{EEC54966-A118-4437-9233-22798D05A1FE}"/>
    <hyperlink ref="B240" r:id="rId239" display="https://github.com/d-wkim/phd/blob/main/data/pdf/matsumoto_2006.pdf" xr:uid="{2D8016BC-3369-44F9-8F7F-C97A3019BAEA}"/>
    <hyperlink ref="B241" r:id="rId240" display="https://github.com/d-wkim/phd/blob/main/data/pdf/matsumoto_2006.pdf" xr:uid="{CBFECF1F-F3FF-4653-8390-8F6278C21CA2}"/>
    <hyperlink ref="B242" r:id="rId241" display="https://github.com/d-wkim/phd/blob/main/data/pdf/matsumoto_2006.pdf" xr:uid="{BA58EDAA-0813-40A5-B6D0-38FFE4630C9E}"/>
    <hyperlink ref="B243" r:id="rId242" display="https://github.com/d-wkim/phd/blob/main/data/pdf/matsumoto_2006.pdf" xr:uid="{FB34E3CF-D5AE-466C-9D45-7BDBB57BFD4E}"/>
    <hyperlink ref="B244" r:id="rId243" display="https://github.com/d-wkim/phd/blob/main/data/pdf/mohtadi_2016a.pdf" xr:uid="{FCD4B4F5-54B8-4C60-8BEE-7539C5C32EF5}"/>
    <hyperlink ref="B245" r:id="rId244" display="https://github.com/d-wkim/phd/blob/main/data/pdf/mohtadi_2016a.pdf" xr:uid="{6320EC06-FFD5-48C8-B5B7-DD59F1FE2CD5}"/>
    <hyperlink ref="B246" r:id="rId245" display="https://github.com/d-wkim/phd/blob/main/data/pdf/moraiti_2010.pdf" xr:uid="{9617FFC7-A658-434A-9410-31FE411642C5}"/>
    <hyperlink ref="B247" r:id="rId246" display="https://github.com/d-wkim/phd/blob/main/data/pdf/moraiti_2010.pdf" xr:uid="{52A9D092-C672-4AD3-9343-457CF9531171}"/>
    <hyperlink ref="B248" r:id="rId247" display="https://github.com/d-wkim/phd/blob/main/data/pdf/moraiti_2010.pdf" xr:uid="{AC52762A-DDB9-4307-A1CF-055941F29474}"/>
    <hyperlink ref="B249" r:id="rId248" display="https://github.com/d-wkim/phd/blob/main/data/pdf/moraiti_2010.pdf" xr:uid="{935B7F6F-92E6-425C-BC65-8E49214AB402}"/>
    <hyperlink ref="B250" r:id="rId249" display="https://github.com/d-wkim/phd/blob/main/data/pdf/noh_2011.pdf" xr:uid="{A1011719-E9BE-4202-A308-B01515F18F4C}"/>
    <hyperlink ref="B251" r:id="rId250" display="https://github.com/d-wkim/phd/blob/main/data/pdf/noh_2011.pdf" xr:uid="{40F556A0-B922-476A-8467-F1D85DC49232}"/>
    <hyperlink ref="B252" r:id="rId251" display="https://github.com/d-wkim/phd/blob/main/data/pdf/noh_2011.pdf" xr:uid="{2ED4D154-6E66-48BC-8F2E-5A6CFD638889}"/>
    <hyperlink ref="B253" r:id="rId252" display="https://github.com/d-wkim/phd/blob/main/data/pdf/noh_2011.pdf" xr:uid="{09936D29-5614-4880-9800-74876B1DBEFB}"/>
    <hyperlink ref="B254" r:id="rId253" display="https://github.com/d-wkim/phd/blob/main/data/pdf/noh_2011.pdf" xr:uid="{1F8BFCC8-523B-4E96-9540-A98DB68E4ADD}"/>
    <hyperlink ref="B255" r:id="rId254" display="https://github.com/d-wkim/phd/blob/main/data/pdf/noh_2011.pdf" xr:uid="{D3DC82B7-7F3E-4447-B35F-BEDC2E1D114D}"/>
    <hyperlink ref="B256" r:id="rId255" display="https://github.com/d-wkim/phd/blob/main/data/pdf/noh_2011.pdf" xr:uid="{30D27695-B616-4A90-80A6-69A4216F4DD5}"/>
    <hyperlink ref="B257" r:id="rId256" display="https://github.com/d-wkim/phd/blob/main/data/pdf/noh_2011.pdf" xr:uid="{B7CBF463-4B56-41DA-9404-89F6FE4C5C33}"/>
    <hyperlink ref="B258" r:id="rId257" display="https://github.com/d-wkim/phd/blob/main/data/pdf/papalia_2015.pdf" xr:uid="{9AC23185-EC40-4CCB-9534-6505CA4E31D0}"/>
    <hyperlink ref="B259" r:id="rId258" display="https://github.com/d-wkim/phd/blob/main/data/pdf/papalia_2015.pdf" xr:uid="{50FF140F-8F2A-4500-8AF1-B21A5D6BB22A}"/>
    <hyperlink ref="B260" r:id="rId259" display="https://github.com/d-wkim/phd/blob/main/data/pdf/papalia_2015.pdf" xr:uid="{F9C6777B-98FF-44A3-A3A8-B4412037724B}"/>
    <hyperlink ref="B261" r:id="rId260" display="https://github.com/d-wkim/phd/blob/main/data/pdf/papalia_2015.pdf" xr:uid="{AC527B26-1501-459F-8ECD-7A58BCCC6CFF}"/>
    <hyperlink ref="B262" r:id="rId261" display="https://github.com/d-wkim/phd/blob/main/data/pdf/pinczewski_2007.pdf" xr:uid="{6E745782-8A7A-4D7E-BBE1-0971078C4D76}"/>
    <hyperlink ref="B263" r:id="rId262" display="https://github.com/d-wkim/phd/blob/main/data/pdf/pinczewski_2007.pdf" xr:uid="{69BE8778-4268-40D1-807A-C066678A2839}"/>
    <hyperlink ref="B264" r:id="rId263" display="https://github.com/d-wkim/phd/blob/main/data/pdf/pinczewski_2007.pdf" xr:uid="{18FC4A8D-5B6B-4B77-BA32-ACB61BE915E7}"/>
    <hyperlink ref="B265" r:id="rId264" display="https://github.com/d-wkim/phd/blob/main/data/pdf/pinczewski_2007.pdf" xr:uid="{8837FCEC-77AB-4376-B246-D7B772E721A9}"/>
    <hyperlink ref="B266" r:id="rId265" display="https://github.com/d-wkim/phd/blob/main/data/pdf/pinczewski_2007.pdf" xr:uid="{119EBD92-0483-4DAC-95B8-C2B83CE06442}"/>
    <hyperlink ref="B267" r:id="rId266" display="https://github.com/d-wkim/phd/blob/main/data/pdf/pinczewski_2007.pdf" xr:uid="{85FAD413-76B1-41F2-B50B-C3045A1CFDD3}"/>
    <hyperlink ref="B268" r:id="rId267" display="https://github.com/d-wkim/phd/blob/main/data/pdf/pinczewski_2007.pdf" xr:uid="{7F6D86FC-32D9-4C01-B225-0C5A661FEBB2}"/>
    <hyperlink ref="B269" r:id="rId268" display="https://github.com/d-wkim/phd/blob/main/data/pdf/pinczewski_2007.pdf" xr:uid="{B9342C26-690A-497B-816C-CACE30FC4410}"/>
    <hyperlink ref="B270" r:id="rId269" display="https://github.com/d-wkim/phd/blob/main/data/pdf/pinczewski_2007.pdf" xr:uid="{F53E84E8-AD5C-438C-8119-4E6B42B4C0A9}"/>
    <hyperlink ref="B271" r:id="rId270" display="https://github.com/d-wkim/phd/blob/main/data/pdf/pinczewski_2007.pdf" xr:uid="{9B859CBD-2D50-44B5-9BF9-7C04A2037544}"/>
    <hyperlink ref="B272" r:id="rId271" display="https://github.com/d-wkim/phd/blob/main/data/pdf/pinczewski_2007.pdf" xr:uid="{34EB4A1F-17F1-4C84-AB20-5E8B37BEC8F5}"/>
    <hyperlink ref="B273" r:id="rId272" display="https://github.com/d-wkim/phd/blob/main/data/pdf/pinczewski_2007.pdf" xr:uid="{D761BF85-E867-4223-8586-8A82ECE37174}"/>
    <hyperlink ref="B274" r:id="rId273" display="https://github.com/d-wkim/phd/blob/main/data/pdf/popovic_2024.pdf" xr:uid="{01657910-5E96-4AD3-B76F-B5166B2AF775}"/>
    <hyperlink ref="B275" r:id="rId274" display="https://github.com/d-wkim/phd/blob/main/data/pdf/popovic_2024.pdf" xr:uid="{631BB4EA-B5D3-4C30-81CC-F9EEEDEBA626}"/>
    <hyperlink ref="B276" r:id="rId275" display="https://github.com/d-wkim/phd/blob/main/data/pdf/popovic_2024.pdf" xr:uid="{22574C1D-230D-44AF-8A9C-20A4A9148F39}"/>
    <hyperlink ref="B277" r:id="rId276" display="https://github.com/d-wkim/phd/blob/main/data/pdf/popovic_2024.pdf" xr:uid="{7CC79336-1969-4EB6-88D5-6B3B312FCF67}"/>
    <hyperlink ref="B278" r:id="rId277" display="https://github.com/d-wkim/phd/blob/main/data/pdf/popovic_2024.pdf" xr:uid="{4E5F68BE-D582-42CA-92C2-A9827567C46C}"/>
    <hyperlink ref="B279" r:id="rId278" display="https://github.com/d-wkim/phd/blob/main/data/pdf/popovic_2024.pdf" xr:uid="{F7971B1D-8141-4DBF-A3AB-024A331DDC78}"/>
    <hyperlink ref="B280" r:id="rId279" display="https://github.com/d-wkim/phd/blob/main/data/pdf/popovic_2024.pdf" xr:uid="{C8471A89-6CEB-4607-A1D3-D8CF59E2B72E}"/>
    <hyperlink ref="B281" r:id="rId280" display="https://github.com/d-wkim/phd/blob/main/data/pdf/popovic_2024.pdf" xr:uid="{7106A614-E9BB-4702-9217-23C9EFB697EE}"/>
    <hyperlink ref="B282" r:id="rId281" display="https://github.com/d-wkim/phd/blob/main/data/pdf/popovic_2024.pdf" xr:uid="{F30AD0C2-F6D9-46B8-9AE4-D42818FE2443}"/>
    <hyperlink ref="B283" r:id="rId282" display="https://github.com/d-wkim/phd/blob/main/data/pdf/popovic_2024.pdf" xr:uid="{54D1B407-ED2A-4EBE-9C1A-D329FDB8A46E}"/>
    <hyperlink ref="B284" r:id="rId283" display="https://github.com/d-wkim/phd/blob/main/data/pdf/popovic_2024.pdf" xr:uid="{E03005A1-E39C-4EA3-91E3-B1079A882A8D}"/>
    <hyperlink ref="B285" r:id="rId284" display="https://github.com/d-wkim/phd/blob/main/data/pdf/popovic_2024.pdf" xr:uid="{ADAAF896-CB95-46E2-8FAC-3B2AF1D846B6}"/>
    <hyperlink ref="B286" r:id="rId285" display="https://github.com/d-wkim/phd/blob/main/data/pdf/sajovic_2018.pdf" xr:uid="{1F3AF623-4DE4-47C0-8E75-4C2285B92809}"/>
    <hyperlink ref="B287" r:id="rId286" display="https://github.com/d-wkim/phd/blob/main/data/pdf/sajovic_2018.pdf" xr:uid="{20293839-2627-4E6C-98B9-682EED5F9B7A}"/>
    <hyperlink ref="B288" r:id="rId287" display="https://github.com/d-wkim/phd/blob/main/data/pdf/sajovic_2018.pdf" xr:uid="{1A306EB3-563D-491D-8740-4D028333247E}"/>
    <hyperlink ref="B289" r:id="rId288" display="https://github.com/d-wkim/phd/blob/main/data/pdf/sajovic_2018.pdf" xr:uid="{2E4ECBF6-A4C3-4E23-A6CD-226350098225}"/>
    <hyperlink ref="B290" r:id="rId289" display="https://github.com/d-wkim/phd/blob/main/data/pdf/sinding_2020.pdf" xr:uid="{8C82F1A3-20E9-43E4-8BA4-24C720018312}"/>
    <hyperlink ref="B291" r:id="rId290" display="https://github.com/d-wkim/phd/blob/main/data/pdf/sinding_2020.pdf" xr:uid="{945D9D3F-C1D9-4C46-8EAE-90C4D8A45859}"/>
    <hyperlink ref="B292" r:id="rId291" display="https://github.com/d-wkim/phd/blob/main/data/pdf/smith_2020.pdf" xr:uid="{D02B241B-1F92-4ACF-AD5A-1EBAE9910563}"/>
    <hyperlink ref="B293" r:id="rId292" display="https://github.com/d-wkim/phd/blob/main/data/pdf/smith_2020.pdf" xr:uid="{E9C294EF-D6D0-4C8B-A293-D2B26A24BBA6}"/>
    <hyperlink ref="B294" r:id="rId293" display="https://github.com/d-wkim/phd/blob/main/data/pdf/smith_2020.pdf" xr:uid="{FA8DCC61-28FE-4080-AA1E-8B8A0191937B}"/>
    <hyperlink ref="B295" r:id="rId294" display="https://github.com/d-wkim/phd/blob/main/data/pdf/smith_2020.pdf" xr:uid="{906B6401-1FAF-4836-9E85-FDF4D7E30710}"/>
    <hyperlink ref="B296" r:id="rId295" display="https://github.com/d-wkim/phd/blob/main/data/pdf/smith_2020.pdf" xr:uid="{75573010-7BE5-4CD2-85EE-C225F9A9BE74}"/>
    <hyperlink ref="B297" r:id="rId296" display="https://github.com/d-wkim/phd/blob/main/data/pdf/smith_2020.pdf" xr:uid="{3FEEBB7E-5D77-4031-91C6-0E11C882DE1A}"/>
    <hyperlink ref="B298" r:id="rId297" display="https://github.com/d-wkim/phd/blob/main/data/pdf/sonnery-cottet_2026.pdf" xr:uid="{4F11725A-B0A2-4A1D-8865-7BCBE9A8E454}"/>
    <hyperlink ref="B299" r:id="rId298" display="https://github.com/d-wkim/phd/blob/main/data/pdf/sonnery-cottet_2026.pdf" xr:uid="{0FC4B955-D6D1-4188-9F47-39939BD0EF2E}"/>
    <hyperlink ref="B300" r:id="rId299" display="https://github.com/d-wkim/phd/blob/main/data/pdf/sonnery-cottet_2026.pdf" xr:uid="{BD05CDED-22AA-4D44-8E5C-B806C2BFB746}"/>
    <hyperlink ref="B301" r:id="rId300" display="https://github.com/d-wkim/phd/blob/main/data/pdf/sonnery-cottet_2026.pdf" xr:uid="{73C2B5CD-170C-4913-9D8D-31F2BA0DF37F}"/>
    <hyperlink ref="B302" r:id="rId301" display="https://github.com/d-wkim/phd/blob/main/data/pdf/sonnery-cottet_2026.pdf" xr:uid="{86216602-535A-4B55-93BC-BE56DBA82D53}"/>
    <hyperlink ref="B303" r:id="rId302" display="https://github.com/d-wkim/phd/blob/main/data/pdf/sonnery-cottet_2026.pdf" xr:uid="{6882770B-C420-4E17-BF05-CA61FB1A8B9A}"/>
    <hyperlink ref="B304" r:id="rId303" display="https://github.com/d-wkim/phd/blob/main/data/pdf/sonnery-cottet_2026.pdf" xr:uid="{3C71B1FB-8B9B-4C91-A92E-651E61834FD5}"/>
    <hyperlink ref="B305" r:id="rId304" display="https://github.com/d-wkim/phd/blob/main/data/pdf/sonnery-cottet_2026.pdf" xr:uid="{C7A9B579-6D21-44E8-913D-EB6CC849D5D4}"/>
    <hyperlink ref="B306" r:id="rId305" display="https://github.com/d-wkim/phd/blob/main/data/pdf/sonnery-cottet_2026.pdf" xr:uid="{83010065-956F-4217-B4E7-05C56479B359}"/>
    <hyperlink ref="B307" r:id="rId306" display="https://github.com/d-wkim/phd/blob/main/data/pdf/sonnery-cottet_2026.pdf" xr:uid="{C93D82BC-138A-4AF4-A8D1-7BC7FDBEBB68}"/>
    <hyperlink ref="B308" r:id="rId307" display="https://github.com/d-wkim/phd/blob/main/data/pdf/tang_2023.pdf" xr:uid="{128D39DD-8E59-4F34-B282-D1F663104D4D}"/>
    <hyperlink ref="B309" r:id="rId308" display="https://github.com/d-wkim/phd/blob/main/data/pdf/tang_2023.pdf" xr:uid="{86D5D26D-87A6-4593-B3B7-5B3D25322D24}"/>
    <hyperlink ref="B310" r:id="rId309" display="https://github.com/d-wkim/phd/blob/main/data/pdf/tang_2023.pdf" xr:uid="{15D8A3C3-6BB1-4BB1-AEA4-8195B079A20F}"/>
    <hyperlink ref="B311" r:id="rId310" display="https://github.com/d-wkim/phd/blob/main/data/pdf/tang_2023.pdf" xr:uid="{30467B48-FF6B-4B36-BA8B-CD393EF34385}"/>
    <hyperlink ref="B312" r:id="rId311" display="https://github.com/d-wkim/phd/blob/main/data/pdf/taylor_2009.pdf" xr:uid="{23029C85-1381-4958-AA9C-B2BD59F4F85D}"/>
    <hyperlink ref="B313" r:id="rId312" display="https://github.com/d-wkim/phd/blob/main/data/pdf/taylor_2009.pdf" xr:uid="{CE23B26D-452E-4E6A-AB83-045F328F9EC1}"/>
    <hyperlink ref="B314" r:id="rId313" display="https://github.com/d-wkim/phd/blob/main/data/pdf/taylor_2009.pdf" xr:uid="{436A47C7-01EE-42CD-AF40-BA300EA8BF4F}"/>
    <hyperlink ref="B315" r:id="rId314" display="https://github.com/d-wkim/phd/blob/main/data/pdf/taylor_2009.pdf" xr:uid="{E4CE662C-F948-4D70-B303-CB937B117D82}"/>
    <hyperlink ref="B316" r:id="rId315" display="https://github.com/d-wkim/phd/blob/main/data/pdf/taylor_2009.pdf" xr:uid="{8CC12D00-FEEC-46B8-A810-61E3CCD50839}"/>
    <hyperlink ref="B317" r:id="rId316" display="https://github.com/d-wkim/phd/blob/main/data/pdf/taylor_2009.pdf" xr:uid="{54ECFDAA-CCBD-49FB-882C-F6B8E005C79B}"/>
    <hyperlink ref="B318" r:id="rId317" display="https://github.com/d-wkim/phd/blob/main/data/pdf/vilchez-cavazos_2020.pdf" xr:uid="{0EA87679-8767-4CBA-B9ED-32E3736DE20E}"/>
    <hyperlink ref="B319" r:id="rId318" display="https://github.com/d-wkim/phd/blob/main/data/pdf/vilchez-cavazos_2020.pdf" xr:uid="{F8F62A86-BE81-4404-BDAA-EEE13A5FB8C8}"/>
    <hyperlink ref="B320" r:id="rId319" display="https://github.com/d-wkim/phd/blob/main/data/pdf/vilchez-cavazos_2020.pdf" xr:uid="{C0455713-228D-4BA9-8A01-74D1A521CCC7}"/>
    <hyperlink ref="B321" r:id="rId320" display="https://github.com/d-wkim/phd/blob/main/data/pdf/vilchez-cavazos_2020.pdf" xr:uid="{21688318-9AC7-4059-84E0-F85451192902}"/>
    <hyperlink ref="B322" r:id="rId321" display="https://github.com/d-wkim/phd/blob/main/data/pdf/webster_2001.pdf" xr:uid="{0112164A-8DA8-4805-AE5B-699F8BA66FA2}"/>
    <hyperlink ref="B323" r:id="rId322" display="https://github.com/d-wkim/phd/blob/main/data/pdf/webster_2001.pdf" xr:uid="{09D0383B-3E81-4E29-A341-3A116DA18EE3}"/>
    <hyperlink ref="B324" r:id="rId323" display="https://github.com/d-wkim/phd/blob/main/data/pdf/wipfler_2011.pdf" xr:uid="{753CA3FE-53B3-4322-AF44-6E0B04EA64C4}"/>
    <hyperlink ref="B325" r:id="rId324" display="https://github.com/d-wkim/phd/blob/main/data/pdf/wipfler_2011.pdf" xr:uid="{94A9DDE5-27D6-4CB8-8C5B-369418CECA37}"/>
    <hyperlink ref="B326" r:id="rId325" display="https://github.com/d-wkim/phd/blob/main/data/pdf/wipfler_2011.pdf" xr:uid="{DB7269DE-50C5-465A-9385-7ED9F20D981A}"/>
    <hyperlink ref="B327" r:id="rId326" display="https://github.com/d-wkim/phd/blob/main/data/pdf/wipfler_2011.pdf" xr:uid="{A67729A5-9BD8-4168-B916-1EB7941B4E80}"/>
    <hyperlink ref="B328" r:id="rId327" display="https://github.com/d-wkim/phd/blob/main/data/pdf/wipfler_2011.pdf" xr:uid="{E8C49378-6CAB-4032-A5F1-B27550A4F0FE}"/>
    <hyperlink ref="B329" r:id="rId328" display="https://github.com/d-wkim/phd/blob/main/data/pdf/wipfler_2011.pdf" xr:uid="{ABD7B713-A353-4ED0-A307-C444FEE38165}"/>
    <hyperlink ref="B330" r:id="rId329" display="https://github.com/d-wkim/phd/blob/main/data/pdf/wipfler_2011.pdf" xr:uid="{5E53F397-9AA5-4F04-BC9D-B78696372274}"/>
    <hyperlink ref="B331" r:id="rId330" display="https://github.com/d-wkim/phd/blob/main/data/pdf/wipfler_2011.pdf" xr:uid="{A0E31453-1B49-4CD1-B584-AB8E5AD2F0A1}"/>
    <hyperlink ref="B332" r:id="rId331" display="https://github.com/d-wkim/phd/blob/main/data/pdf/wipfler_2011.pdf" xr:uid="{7A09B540-0D1D-43AD-A995-C9468D209EB2}"/>
    <hyperlink ref="B333" r:id="rId332" display="https://github.com/d-wkim/phd/blob/main/data/pdf/wipfler_2011.pdf" xr:uid="{51E72285-57BE-4B6C-9408-78DFA8925B41}"/>
    <hyperlink ref="B334" r:id="rId333" display="https://github.com/d-wkim/phd/blob/main/data/pdf/yadav_2025.pdf" xr:uid="{C77D48B4-76BE-4B28-9C2A-FF2B66306105}"/>
    <hyperlink ref="B335" r:id="rId334" display="https://github.com/d-wkim/phd/blob/main/data/pdf/yadav_2025.pdf" xr:uid="{1FEB22BC-BEB0-44DB-8C5D-A62518A1C1E2}"/>
    <hyperlink ref="B336" r:id="rId335" display="https://github.com/d-wkim/phd/blob/main/data/pdf/yadav_2025.pdf" xr:uid="{877FEA0A-FE33-436C-B5A4-5A654956C184}"/>
    <hyperlink ref="B337" r:id="rId336" display="https://github.com/d-wkim/phd/blob/main/data/pdf/yadav_2025.pdf" xr:uid="{F4878FA6-ECCD-4F20-AFCD-E65DD74477B3}"/>
    <hyperlink ref="B338" r:id="rId337" display="https://github.com/d-wkim/phd/blob/main/data/pdf/yadav_2025.pdf" xr:uid="{686D33C1-8342-4D19-A9D1-634DCFCACEB3}"/>
    <hyperlink ref="B339" r:id="rId338" display="https://github.com/d-wkim/phd/blob/main/data/pdf/yadav_2025.pdf" xr:uid="{99075597-ED64-4ECA-A75D-B7443136F9ED}"/>
    <hyperlink ref="B340" r:id="rId339" display="https://github.com/d-wkim/phd/blob/main/data/pdf/yadav_2025.pdf" xr:uid="{3D5BCF55-6714-45B4-AAFE-1DB0039F798F}"/>
    <hyperlink ref="B341" r:id="rId340" display="https://github.com/d-wkim/phd/blob/main/data/pdf/yadav_2025.pdf" xr:uid="{1DF7DDF3-0898-42FE-9BF7-75874EC2C2F5}"/>
    <hyperlink ref="B342" r:id="rId341" display="https://github.com/d-wkim/phd/blob/main/data/pdf/yoo_2017.pdf" xr:uid="{163689A4-A36A-461F-BC4C-2C068831E71A}"/>
    <hyperlink ref="B343" r:id="rId342" display="https://github.com/d-wkim/phd/blob/main/data/pdf/yoo_2017.pdf" xr:uid="{FE5D9894-57D0-4F4A-A62D-2183DBAC8F6E}"/>
    <hyperlink ref="B344" r:id="rId343" display="https://github.com/d-wkim/phd/blob/main/data/pdf/yoo_2017.pdf" xr:uid="{BD786E51-511A-421F-AF98-CB1443A8F111}"/>
    <hyperlink ref="B345" r:id="rId344" display="https://github.com/d-wkim/phd/blob/main/data/pdf/yoo_2017.pdf" xr:uid="{059F2D11-4AB1-4C0C-A0B5-0667E75EAB58}"/>
    <hyperlink ref="B346" r:id="rId345" display="https://github.com/d-wkim/phd/blob/main/data/pdf/yoo_2017.pdf" xr:uid="{EF0B484D-6D69-4C0F-807D-83BD0ACB5E84}"/>
    <hyperlink ref="B347" r:id="rId346" display="https://github.com/d-wkim/phd/blob/main/data/pdf/yoo_2017.pdf" xr:uid="{C4476140-C690-4CFC-99AC-A5B2AFA93B35}"/>
    <hyperlink ref="B348" r:id="rId347" display="https://github.com/d-wkim/phd/blob/main/data/pdf/yoo_2017.pdf" xr:uid="{CA421200-1CD4-49A2-80E7-90385223F0F6}"/>
    <hyperlink ref="B349" r:id="rId348" display="https://github.com/d-wkim/phd/blob/main/data/pdf/yoo_2017.pdf" xr:uid="{F67E42B7-7B92-4FEA-947E-C036ED20F117}"/>
    <hyperlink ref="B350" r:id="rId349" display="https://github.com/d-wkim/phd/blob/main/data/pdf/yoo_2017.pdf" xr:uid="{6D186186-2B14-4B35-BED6-7A6A60143DFB}"/>
    <hyperlink ref="B351" r:id="rId350" display="https://github.com/d-wkim/phd/blob/main/data/pdf/yoo_2017.pdf" xr:uid="{90DA26C3-58F8-4C86-87D6-97CF7F2537CD}"/>
    <hyperlink ref="B352" r:id="rId351" display="https://github.com/d-wkim/phd/blob/main/data/pdf/zaffagnini_2011.pdf" xr:uid="{E854CD67-4558-412C-8FFA-181202A9B237}"/>
    <hyperlink ref="B353" r:id="rId352" display="https://github.com/d-wkim/phd/blob/main/data/pdf/zaffagnini_2011.pdf" xr:uid="{B6C98C9C-8AC6-418F-9EBC-84A00AE89B3A}"/>
    <hyperlink ref="B354" r:id="rId353" display="https://github.com/d-wkim/phd/blob/main/data/pdf/zaffagnini_2011.pdf" xr:uid="{613B92D3-994B-4388-8BD4-678F431768D6}"/>
    <hyperlink ref="B355" r:id="rId354" display="https://github.com/d-wkim/phd/blob/main/data/pdf/zaffagnini_2011.pdf" xr:uid="{789D0BBD-94E9-404B-AD8A-03FE545E82C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A7CA-0C3E-4E10-8A84-5DA89B95E92A}">
  <dimension ref="A1:I55"/>
  <sheetViews>
    <sheetView workbookViewId="0">
      <selection activeCell="A2" sqref="A2"/>
    </sheetView>
  </sheetViews>
  <sheetFormatPr defaultRowHeight="14.5" x14ac:dyDescent="0.35"/>
  <cols>
    <col min="1" max="1" width="3.81640625" style="20" bestFit="1" customWidth="1"/>
    <col min="2" max="2" width="23.36328125" style="22" bestFit="1" customWidth="1"/>
    <col min="3" max="3" width="15.7265625" bestFit="1" customWidth="1"/>
  </cols>
  <sheetData>
    <row r="1" spans="1:9" s="19" customFormat="1" x14ac:dyDescent="0.35">
      <c r="A1" s="19" t="s">
        <v>73</v>
      </c>
      <c r="B1" s="21" t="s">
        <v>74</v>
      </c>
    </row>
    <row r="2" spans="1:9" x14ac:dyDescent="0.35">
      <c r="A2" s="20" cm="1">
        <f t="array" aca="1" ref="A2:A55" ca="1">IF(A$1&lt;&gt;"",_xlfn._xlws.FILTER(INDIRECT(A$1),Outcome="ikdc",""),"")</f>
        <v>10</v>
      </c>
      <c r="B2" s="22" t="str" cm="1">
        <f t="array" aca="1" ref="B2:B55" ca="1">IF(B$1&lt;&gt;"",_xlfn._xlws.FILTER(INDIRECT(B$1),Outcome="ikdc",""),"")</f>
        <v>Barié et al., 2020</v>
      </c>
      <c r="C2" t="str" cm="1">
        <f t="array" aca="1" ref="C2" ca="1">IF(C$1&lt;&gt;"",_xlfn._xlws.FILTER(INDIRECT(C$1),Outcome="ikdc",""),"")</f>
        <v/>
      </c>
      <c r="D2" t="str" cm="1">
        <f t="array" aca="1" ref="D2" ca="1">IF(D$1&lt;&gt;"",INDIRECT(D$1),"")</f>
        <v/>
      </c>
      <c r="E2" t="str" cm="1">
        <f t="array" aca="1" ref="E2" ca="1">IF(E$1&lt;&gt;"",INDIRECT(E$1),"")</f>
        <v/>
      </c>
      <c r="F2" t="str" cm="1">
        <f t="array" aca="1" ref="F2" ca="1">IF(F$1&lt;&gt;"",INDIRECT(F$1),"")</f>
        <v/>
      </c>
      <c r="G2" t="str" cm="1">
        <f t="array" aca="1" ref="G2" ca="1">IF(G$1&lt;&gt;"",INDIRECT(G$1),"")</f>
        <v/>
      </c>
      <c r="H2" t="str" cm="1">
        <f t="array" aca="1" ref="H2" ca="1">IF(H$1&lt;&gt;"",INDIRECT(H$1),"")</f>
        <v/>
      </c>
      <c r="I2" t="str" cm="1">
        <f t="array" aca="1" ref="I2" ca="1">IF(I$1&lt;&gt;"",INDIRECT(I$1),"")</f>
        <v/>
      </c>
    </row>
    <row r="3" spans="1:9" x14ac:dyDescent="0.35">
      <c r="A3" s="20">
        <f ca="1"/>
        <v>10</v>
      </c>
      <c r="B3" s="22" t="str">
        <f ca="1"/>
        <v>Barié et al., 2020</v>
      </c>
    </row>
    <row r="4" spans="1:9" x14ac:dyDescent="0.35">
      <c r="A4" s="20">
        <f ca="1"/>
        <v>12</v>
      </c>
      <c r="B4" s="22" t="str">
        <f ca="1"/>
        <v>Bi et al., 2018</v>
      </c>
    </row>
    <row r="5" spans="1:9" x14ac:dyDescent="0.35">
      <c r="A5" s="20">
        <f ca="1"/>
        <v>12</v>
      </c>
      <c r="B5" s="22" t="str">
        <f ca="1"/>
        <v>Bi et al., 2018</v>
      </c>
    </row>
    <row r="6" spans="1:9" x14ac:dyDescent="0.35">
      <c r="A6" s="20">
        <f ca="1"/>
        <v>13</v>
      </c>
      <c r="B6" s="22" t="str">
        <f ca="1"/>
        <v>Björnsson et al., 2016</v>
      </c>
    </row>
    <row r="7" spans="1:9" x14ac:dyDescent="0.35">
      <c r="A7" s="20">
        <f ca="1"/>
        <v>13</v>
      </c>
      <c r="B7" s="22" t="str">
        <f ca="1"/>
        <v>Björnsson et al., 2016</v>
      </c>
    </row>
    <row r="8" spans="1:9" x14ac:dyDescent="0.35">
      <c r="A8" s="20">
        <f ca="1"/>
        <v>14</v>
      </c>
      <c r="B8" s="22" t="str">
        <f ca="1"/>
        <v>Bottoni et al., 2015</v>
      </c>
    </row>
    <row r="9" spans="1:9" x14ac:dyDescent="0.35">
      <c r="A9" s="20">
        <f ca="1"/>
        <v>14</v>
      </c>
      <c r="B9" s="22" t="str">
        <f ca="1"/>
        <v>Bottoni et al., 2015</v>
      </c>
    </row>
    <row r="10" spans="1:9" x14ac:dyDescent="0.35">
      <c r="A10" s="20">
        <f ca="1"/>
        <v>18</v>
      </c>
      <c r="B10" s="22" t="str">
        <f ca="1"/>
        <v>Butt et al., 2024</v>
      </c>
    </row>
    <row r="11" spans="1:9" x14ac:dyDescent="0.35">
      <c r="A11" s="20">
        <f ca="1"/>
        <v>18</v>
      </c>
      <c r="B11" s="22" t="str">
        <f ca="1"/>
        <v>Butt et al., 2024</v>
      </c>
    </row>
    <row r="12" spans="1:9" x14ac:dyDescent="0.35">
      <c r="A12" s="20">
        <f ca="1"/>
        <v>19</v>
      </c>
      <c r="B12" s="22" t="str">
        <f ca="1"/>
        <v>Calvert et al., 2025</v>
      </c>
    </row>
    <row r="13" spans="1:9" x14ac:dyDescent="0.35">
      <c r="A13" s="20">
        <f ca="1"/>
        <v>19</v>
      </c>
      <c r="B13" s="22" t="str">
        <f ca="1"/>
        <v>Calvert et al., 2025</v>
      </c>
    </row>
    <row r="14" spans="1:9" x14ac:dyDescent="0.35">
      <c r="A14" s="20">
        <f ca="1"/>
        <v>32</v>
      </c>
      <c r="B14" s="22" t="str">
        <f ca="1"/>
        <v>Guglielmetti et al., 2021</v>
      </c>
    </row>
    <row r="15" spans="1:9" x14ac:dyDescent="0.35">
      <c r="A15" s="20">
        <f ca="1"/>
        <v>32</v>
      </c>
      <c r="B15" s="22" t="str">
        <f ca="1"/>
        <v>Guglielmetti et al., 2021</v>
      </c>
    </row>
    <row r="16" spans="1:9" x14ac:dyDescent="0.35">
      <c r="A16" s="20">
        <f ca="1"/>
        <v>36</v>
      </c>
      <c r="B16" s="22" t="str">
        <f ca="1"/>
        <v>Horstmann et al., 2022</v>
      </c>
    </row>
    <row r="17" spans="1:2" x14ac:dyDescent="0.35">
      <c r="A17" s="20">
        <f ca="1"/>
        <v>36</v>
      </c>
      <c r="B17" s="22" t="str">
        <f ca="1"/>
        <v>Horstmann et al., 2022</v>
      </c>
    </row>
    <row r="18" spans="1:2" x14ac:dyDescent="0.35">
      <c r="A18" s="20">
        <f ca="1"/>
        <v>38</v>
      </c>
      <c r="B18" s="22" t="str">
        <f ca="1"/>
        <v>Iliopoulos et al., 2017</v>
      </c>
    </row>
    <row r="19" spans="1:2" x14ac:dyDescent="0.35">
      <c r="A19" s="20">
        <f ca="1"/>
        <v>38</v>
      </c>
      <c r="B19" s="22" t="str">
        <f ca="1"/>
        <v>Iliopoulos et al., 2017</v>
      </c>
    </row>
    <row r="20" spans="1:2" x14ac:dyDescent="0.35">
      <c r="A20" s="20">
        <f ca="1"/>
        <v>44</v>
      </c>
      <c r="B20" s="22" t="str">
        <f ca="1"/>
        <v>Komzak et al., 2022</v>
      </c>
    </row>
    <row r="21" spans="1:2" x14ac:dyDescent="0.35">
      <c r="A21" s="20">
        <f ca="1"/>
        <v>44</v>
      </c>
      <c r="B21" s="22" t="str">
        <f ca="1"/>
        <v>Komzak et al., 2022</v>
      </c>
    </row>
    <row r="22" spans="1:2" x14ac:dyDescent="0.35">
      <c r="A22" s="20">
        <f ca="1"/>
        <v>51</v>
      </c>
      <c r="B22" s="22" t="str">
        <f ca="1"/>
        <v>Li et al., 2015</v>
      </c>
    </row>
    <row r="23" spans="1:2" x14ac:dyDescent="0.35">
      <c r="A23" s="20">
        <f ca="1"/>
        <v>51</v>
      </c>
      <c r="B23" s="22" t="str">
        <f ca="1"/>
        <v>Li et al., 2015</v>
      </c>
    </row>
    <row r="24" spans="1:2" x14ac:dyDescent="0.35">
      <c r="A24" s="20">
        <f ca="1"/>
        <v>53</v>
      </c>
      <c r="B24" s="22" t="str">
        <f ca="1"/>
        <v>Lind et al., 2020</v>
      </c>
    </row>
    <row r="25" spans="1:2" x14ac:dyDescent="0.35">
      <c r="A25" s="20">
        <f ca="1"/>
        <v>53</v>
      </c>
      <c r="B25" s="22" t="str">
        <f ca="1"/>
        <v>Lind et al., 2020</v>
      </c>
    </row>
    <row r="26" spans="1:2" x14ac:dyDescent="0.35">
      <c r="A26" s="20">
        <f ca="1"/>
        <v>54</v>
      </c>
      <c r="B26" s="22" t="str">
        <f ca="1"/>
        <v>Lucidi et al., 2025</v>
      </c>
    </row>
    <row r="27" spans="1:2" x14ac:dyDescent="0.35">
      <c r="A27" s="20">
        <f ca="1"/>
        <v>54</v>
      </c>
      <c r="B27" s="22" t="str">
        <f ca="1"/>
        <v>Lucidi et al., 2025</v>
      </c>
    </row>
    <row r="28" spans="1:2" x14ac:dyDescent="0.35">
      <c r="A28" s="20">
        <f ca="1"/>
        <v>55</v>
      </c>
      <c r="B28" s="22" t="str">
        <f ca="1"/>
        <v>Lui et al., 2012</v>
      </c>
    </row>
    <row r="29" spans="1:2" x14ac:dyDescent="0.35">
      <c r="A29" s="20">
        <f ca="1"/>
        <v>55</v>
      </c>
      <c r="B29" s="22" t="str">
        <f ca="1"/>
        <v>Lui et al., 2012</v>
      </c>
    </row>
    <row r="30" spans="1:2" x14ac:dyDescent="0.35">
      <c r="A30" s="20">
        <f ca="1"/>
        <v>56</v>
      </c>
      <c r="B30" s="22" t="str">
        <f ca="1"/>
        <v>Lund et al., 2014</v>
      </c>
    </row>
    <row r="31" spans="1:2" x14ac:dyDescent="0.35">
      <c r="A31" s="20">
        <f ca="1"/>
        <v>56</v>
      </c>
      <c r="B31" s="22" t="str">
        <f ca="1"/>
        <v>Lund et al., 2014</v>
      </c>
    </row>
    <row r="32" spans="1:2" x14ac:dyDescent="0.35">
      <c r="A32" s="20">
        <f ca="1"/>
        <v>58</v>
      </c>
      <c r="B32" s="22" t="str">
        <f ca="1"/>
        <v>Malik et al., 2026</v>
      </c>
    </row>
    <row r="33" spans="1:2" x14ac:dyDescent="0.35">
      <c r="A33" s="20">
        <f ca="1"/>
        <v>58</v>
      </c>
      <c r="B33" s="22" t="str">
        <f ca="1"/>
        <v>Malik et al., 2026</v>
      </c>
    </row>
    <row r="34" spans="1:2" x14ac:dyDescent="0.35">
      <c r="A34" s="20">
        <f ca="1"/>
        <v>62</v>
      </c>
      <c r="B34" s="22" t="str">
        <f ca="1"/>
        <v>Matsumoto et al., 2006</v>
      </c>
    </row>
    <row r="35" spans="1:2" x14ac:dyDescent="0.35">
      <c r="A35" s="20">
        <f ca="1"/>
        <v>62</v>
      </c>
      <c r="B35" s="22" t="str">
        <f ca="1"/>
        <v>Matsumoto et al., 2006</v>
      </c>
    </row>
    <row r="36" spans="1:2" x14ac:dyDescent="0.35">
      <c r="A36" s="20">
        <f ca="1"/>
        <v>68</v>
      </c>
      <c r="B36" s="22" t="str">
        <f ca="1"/>
        <v>Moraiti et al., 2010</v>
      </c>
    </row>
    <row r="37" spans="1:2" x14ac:dyDescent="0.35">
      <c r="A37" s="20">
        <f ca="1"/>
        <v>68</v>
      </c>
      <c r="B37" s="22" t="str">
        <f ca="1"/>
        <v>Moraiti et al., 2010</v>
      </c>
    </row>
    <row r="38" spans="1:2" x14ac:dyDescent="0.35">
      <c r="A38" s="20">
        <f ca="1"/>
        <v>73</v>
      </c>
      <c r="B38" s="22" t="str">
        <f ca="1"/>
        <v>Papalia et al., 2015</v>
      </c>
    </row>
    <row r="39" spans="1:2" x14ac:dyDescent="0.35">
      <c r="A39" s="20">
        <f ca="1"/>
        <v>73</v>
      </c>
      <c r="B39" s="22" t="str">
        <f ca="1"/>
        <v>Papalia et al., 2015</v>
      </c>
    </row>
    <row r="40" spans="1:2" x14ac:dyDescent="0.35">
      <c r="A40" s="20">
        <f ca="1"/>
        <v>76</v>
      </c>
      <c r="B40" s="22" t="str">
        <f ca="1"/>
        <v>Pinczewski et al., 2007</v>
      </c>
    </row>
    <row r="41" spans="1:2" x14ac:dyDescent="0.35">
      <c r="A41" s="20">
        <f ca="1"/>
        <v>76</v>
      </c>
      <c r="B41" s="22" t="str">
        <f ca="1"/>
        <v>Pinczewski et al., 2007</v>
      </c>
    </row>
    <row r="42" spans="1:2" x14ac:dyDescent="0.35">
      <c r="A42" s="20">
        <f ca="1"/>
        <v>84</v>
      </c>
      <c r="B42" s="22" t="str">
        <f ca="1"/>
        <v>Sinding et al., 2020</v>
      </c>
    </row>
    <row r="43" spans="1:2" x14ac:dyDescent="0.35">
      <c r="A43" s="20">
        <f ca="1"/>
        <v>84</v>
      </c>
      <c r="B43" s="22" t="str">
        <f ca="1"/>
        <v>Sinding et al., 2020</v>
      </c>
    </row>
    <row r="44" spans="1:2" x14ac:dyDescent="0.35">
      <c r="A44" s="20">
        <f ca="1"/>
        <v>85</v>
      </c>
      <c r="B44" s="22" t="str">
        <f ca="1"/>
        <v>Smith et al., 2020</v>
      </c>
    </row>
    <row r="45" spans="1:2" x14ac:dyDescent="0.35">
      <c r="A45" s="20">
        <f ca="1"/>
        <v>85</v>
      </c>
      <c r="B45" s="22" t="str">
        <f ca="1"/>
        <v>Smith et al., 2020</v>
      </c>
    </row>
    <row r="46" spans="1:2" x14ac:dyDescent="0.35">
      <c r="A46" s="20">
        <f ca="1"/>
        <v>87</v>
      </c>
      <c r="B46" s="22" t="str">
        <f ca="1"/>
        <v>Sonnery-cottet et al., 2026</v>
      </c>
    </row>
    <row r="47" spans="1:2" x14ac:dyDescent="0.35">
      <c r="A47" s="20">
        <f ca="1"/>
        <v>87</v>
      </c>
      <c r="B47" s="22" t="str">
        <f ca="1"/>
        <v>Sonnery-cottet et al., 2026</v>
      </c>
    </row>
    <row r="48" spans="1:2" x14ac:dyDescent="0.35">
      <c r="A48" s="20">
        <f ca="1"/>
        <v>89</v>
      </c>
      <c r="B48" s="22" t="str">
        <f ca="1"/>
        <v>Tang et al., 2023</v>
      </c>
    </row>
    <row r="49" spans="1:2" x14ac:dyDescent="0.35">
      <c r="A49" s="20">
        <f ca="1"/>
        <v>89</v>
      </c>
      <c r="B49" s="22" t="str">
        <f ca="1"/>
        <v>Tang et al., 2023</v>
      </c>
    </row>
    <row r="50" spans="1:2" x14ac:dyDescent="0.35">
      <c r="A50" s="20">
        <f ca="1"/>
        <v>93</v>
      </c>
      <c r="B50" s="22" t="str">
        <f ca="1"/>
        <v>Vilchez-cavazos et al., 2020</v>
      </c>
    </row>
    <row r="51" spans="1:2" x14ac:dyDescent="0.35">
      <c r="A51" s="20">
        <f ca="1"/>
        <v>93</v>
      </c>
      <c r="B51" s="22" t="str">
        <f ca="1"/>
        <v>Vilchez-cavazos et al., 2020</v>
      </c>
    </row>
    <row r="52" spans="1:2" x14ac:dyDescent="0.35">
      <c r="A52" s="20">
        <f ca="1"/>
        <v>96</v>
      </c>
      <c r="B52" s="22" t="str">
        <f ca="1"/>
        <v>Wipfler et al., 2011</v>
      </c>
    </row>
    <row r="53" spans="1:2" x14ac:dyDescent="0.35">
      <c r="A53" s="20">
        <f ca="1"/>
        <v>96</v>
      </c>
      <c r="B53" s="22" t="str">
        <f ca="1"/>
        <v>Wipfler et al., 2011</v>
      </c>
    </row>
    <row r="54" spans="1:2" x14ac:dyDescent="0.35">
      <c r="A54" s="20">
        <f ca="1"/>
        <v>100</v>
      </c>
      <c r="B54" s="22" t="str">
        <f ca="1"/>
        <v>Zaffagnini et al., 2011</v>
      </c>
    </row>
    <row r="55" spans="1:2" x14ac:dyDescent="0.35">
      <c r="A55" s="20">
        <f ca="1"/>
        <v>100</v>
      </c>
      <c r="B55" s="22" t="str">
        <f ca="1"/>
        <v>Zaffagnini et al., 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B7E8-3D9D-4C9F-8CB9-E46031D5D932}">
  <dimension ref="A2"/>
  <sheetViews>
    <sheetView workbookViewId="0">
      <selection activeCell="A2" sqref="A2"/>
    </sheetView>
  </sheetViews>
  <sheetFormatPr defaultRowHeight="14.5" x14ac:dyDescent="0.35"/>
  <sheetData>
    <row r="2" spans="1:1" x14ac:dyDescent="0.35">
      <c r="A2" t="str" cm="1">
        <f t="array" aca="1" ref="A2" ca="1">IF(A$1&lt;&gt;"",_xlfn._xlws.FILTER(INDIRECT(A$1),Outcome="ikdc",""),"")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4A63-0AD4-46F8-B2FF-9D42BB27FF65}">
  <dimension ref="A1:E55"/>
  <sheetViews>
    <sheetView workbookViewId="0">
      <selection activeCell="E2" sqref="A1:E2"/>
    </sheetView>
  </sheetViews>
  <sheetFormatPr defaultRowHeight="14.5" x14ac:dyDescent="0.35"/>
  <cols>
    <col min="1" max="1" width="3.81640625" style="20" bestFit="1" customWidth="1"/>
    <col min="2" max="2" width="23.36328125" bestFit="1" customWidth="1"/>
    <col min="3" max="3" width="10.36328125" style="20" bestFit="1" customWidth="1"/>
    <col min="4" max="4" width="8.7265625" style="20"/>
    <col min="5" max="5" width="15.90625" style="20" bestFit="1" customWidth="1"/>
  </cols>
  <sheetData>
    <row r="1" spans="1:5" x14ac:dyDescent="0.35">
      <c r="A1" s="20" t="s">
        <v>73</v>
      </c>
      <c r="B1" t="s">
        <v>74</v>
      </c>
      <c r="C1" s="20" t="s">
        <v>78</v>
      </c>
      <c r="D1" s="20" t="s">
        <v>79</v>
      </c>
      <c r="E1" s="20" t="s">
        <v>90</v>
      </c>
    </row>
    <row r="2" spans="1:5" x14ac:dyDescent="0.35">
      <c r="A2" s="20" cm="1">
        <f t="array" aca="1" ref="A2:A55" ca="1">IF(A$1&lt;&gt;"",_xlfn._xlws.FILTER(INDIRECT(A$1),Outcome="ikdc",""),"")</f>
        <v>10</v>
      </c>
      <c r="B2" t="str" cm="1">
        <f t="array" aca="1" ref="B2:B55" ca="1">IF(B$1&lt;&gt;"",_xlfn._xlws.FILTER(INDIRECT(B$1),Outcome="ikdc",""),"")</f>
        <v>Barié et al., 2020</v>
      </c>
      <c r="C2" s="20" cm="1">
        <f t="array" aca="1" ref="C2:C55" ca="1">IF(C$1&lt;&gt;"",_xlfn._xlws.FILTER(INDIRECT(SUBSTITUTE(C$1, " ","_")),Outcome="ikdc",""),"")</f>
        <v>43</v>
      </c>
      <c r="D2" s="20" cm="1">
        <f t="array" aca="1" ref="D2:D55" ca="1">IF(D$1&lt;&gt;"",_xlfn._xlws.FILTER(INDIRECT(SUBSTITUTE(D$1, " ","_")),Outcome="ikdc",""),"")</f>
        <v>91</v>
      </c>
      <c r="E2" s="20" cm="1">
        <f t="array" aca="1" ref="E2:E55" ca="1">IF(E$1&lt;&gt;"",_xlfn._xlws.FILTER(INDIRECT(SUBSTITUTE(E$1, " ","_")),Outcome="ikdc",""),"")</f>
        <v>7.3</v>
      </c>
    </row>
    <row r="3" spans="1:5" x14ac:dyDescent="0.35">
      <c r="A3" s="20">
        <f ca="1"/>
        <v>10</v>
      </c>
      <c r="B3" t="str">
        <f ca="1"/>
        <v>Barié et al., 2020</v>
      </c>
      <c r="C3" s="20">
        <f ca="1"/>
        <v>43</v>
      </c>
      <c r="D3" s="20">
        <f ca="1"/>
        <v>92</v>
      </c>
      <c r="E3" s="20">
        <f ca="1"/>
        <v>11.5</v>
      </c>
    </row>
    <row r="4" spans="1:5" x14ac:dyDescent="0.35">
      <c r="A4" s="20">
        <f ca="1"/>
        <v>12</v>
      </c>
      <c r="B4" t="str">
        <f ca="1"/>
        <v>Bi et al., 2018</v>
      </c>
      <c r="C4" s="20">
        <f ca="1"/>
        <v>62</v>
      </c>
      <c r="D4" s="20">
        <f ca="1"/>
        <v>90.4</v>
      </c>
      <c r="E4" s="20">
        <f ca="1"/>
        <v>7.1</v>
      </c>
    </row>
    <row r="5" spans="1:5" x14ac:dyDescent="0.35">
      <c r="A5" s="20">
        <f ca="1"/>
        <v>12</v>
      </c>
      <c r="B5" t="str">
        <f ca="1"/>
        <v>Bi et al., 2018</v>
      </c>
      <c r="C5" s="20">
        <f ca="1"/>
        <v>62</v>
      </c>
      <c r="D5" s="20">
        <f ca="1"/>
        <v>89.3</v>
      </c>
      <c r="E5" s="20">
        <f ca="1"/>
        <v>8.4</v>
      </c>
    </row>
    <row r="6" spans="1:5" x14ac:dyDescent="0.35">
      <c r="A6" s="20">
        <f ca="1"/>
        <v>13</v>
      </c>
      <c r="B6" t="str">
        <f ca="1"/>
        <v>Björnsson et al., 2016</v>
      </c>
      <c r="C6" s="20">
        <f ca="1"/>
        <v>61</v>
      </c>
      <c r="D6" s="20">
        <f ca="1"/>
        <v>67.3</v>
      </c>
      <c r="E6" s="20">
        <f ca="1"/>
        <v>20.8</v>
      </c>
    </row>
    <row r="7" spans="1:5" x14ac:dyDescent="0.35">
      <c r="A7" s="20">
        <f ca="1"/>
        <v>13</v>
      </c>
      <c r="B7" t="str">
        <f ca="1"/>
        <v>Björnsson et al., 2016</v>
      </c>
      <c r="C7" s="20">
        <f ca="1"/>
        <v>86</v>
      </c>
      <c r="D7" s="20">
        <f ca="1"/>
        <v>74</v>
      </c>
      <c r="E7" s="20">
        <f ca="1"/>
        <v>18.8</v>
      </c>
    </row>
    <row r="8" spans="1:5" x14ac:dyDescent="0.35">
      <c r="A8" s="20">
        <f ca="1"/>
        <v>14</v>
      </c>
      <c r="B8" t="str">
        <f ca="1"/>
        <v>Bottoni et al., 2015</v>
      </c>
      <c r="C8" s="20">
        <f ca="1"/>
        <v>44</v>
      </c>
      <c r="D8" s="20">
        <f ca="1"/>
        <v>79.5</v>
      </c>
      <c r="E8" s="20">
        <f ca="1"/>
        <v>24.7</v>
      </c>
    </row>
    <row r="9" spans="1:5" x14ac:dyDescent="0.35">
      <c r="A9" s="20">
        <f ca="1"/>
        <v>14</v>
      </c>
      <c r="B9" t="str">
        <f ca="1"/>
        <v>Bottoni et al., 2015</v>
      </c>
      <c r="C9" s="20">
        <f ca="1"/>
        <v>36</v>
      </c>
      <c r="D9" s="20">
        <f ca="1"/>
        <v>81.099999999999994</v>
      </c>
      <c r="E9" s="20">
        <f ca="1"/>
        <v>23.1</v>
      </c>
    </row>
    <row r="10" spans="1:5" x14ac:dyDescent="0.35">
      <c r="A10" s="20">
        <f ca="1"/>
        <v>18</v>
      </c>
      <c r="B10" t="str">
        <f ca="1"/>
        <v>Butt et al., 2024</v>
      </c>
      <c r="C10" s="20">
        <f ca="1"/>
        <v>30</v>
      </c>
      <c r="D10" s="20">
        <f ca="1"/>
        <v>89.7</v>
      </c>
      <c r="E10" s="20">
        <f ca="1"/>
        <v>5.7</v>
      </c>
    </row>
    <row r="11" spans="1:5" x14ac:dyDescent="0.35">
      <c r="A11" s="20">
        <f ca="1"/>
        <v>18</v>
      </c>
      <c r="B11" t="str">
        <f ca="1"/>
        <v>Butt et al., 2024</v>
      </c>
      <c r="C11" s="20">
        <f ca="1"/>
        <v>30</v>
      </c>
      <c r="D11" s="20">
        <f ca="1"/>
        <v>89.9</v>
      </c>
      <c r="E11" s="20">
        <f ca="1"/>
        <v>9.8000000000000007</v>
      </c>
    </row>
    <row r="12" spans="1:5" x14ac:dyDescent="0.35">
      <c r="A12" s="20">
        <f ca="1"/>
        <v>19</v>
      </c>
      <c r="B12" t="str">
        <f ca="1"/>
        <v>Calvert et al., 2025</v>
      </c>
      <c r="C12" s="20">
        <f ca="1"/>
        <v>92</v>
      </c>
      <c r="D12" s="20">
        <f ca="1"/>
        <v>92</v>
      </c>
      <c r="E12" s="20">
        <f ca="1"/>
        <v>8</v>
      </c>
    </row>
    <row r="13" spans="1:5" x14ac:dyDescent="0.35">
      <c r="A13" s="20">
        <f ca="1"/>
        <v>19</v>
      </c>
      <c r="B13" t="str">
        <f ca="1"/>
        <v>Calvert et al., 2025</v>
      </c>
      <c r="C13" s="20">
        <f ca="1"/>
        <v>89</v>
      </c>
      <c r="D13" s="20">
        <f ca="1"/>
        <v>89</v>
      </c>
      <c r="E13" s="20">
        <f ca="1"/>
        <v>10</v>
      </c>
    </row>
    <row r="14" spans="1:5" x14ac:dyDescent="0.35">
      <c r="A14" s="20">
        <f ca="1"/>
        <v>32</v>
      </c>
      <c r="B14" t="str">
        <f ca="1"/>
        <v>Guglielmetti et al., 2021</v>
      </c>
      <c r="C14" s="20">
        <f ca="1"/>
        <v>31</v>
      </c>
      <c r="D14" s="20">
        <f ca="1"/>
        <v>88.75</v>
      </c>
      <c r="E14" s="20">
        <f ca="1"/>
        <v>9.27</v>
      </c>
    </row>
    <row r="15" spans="1:5" x14ac:dyDescent="0.35">
      <c r="A15" s="20">
        <f ca="1"/>
        <v>32</v>
      </c>
      <c r="B15" t="str">
        <f ca="1"/>
        <v>Guglielmetti et al., 2021</v>
      </c>
      <c r="C15" s="20">
        <f ca="1"/>
        <v>31</v>
      </c>
      <c r="D15" s="20">
        <f ca="1"/>
        <v>91</v>
      </c>
      <c r="E15" s="20">
        <f ca="1"/>
        <v>9.07</v>
      </c>
    </row>
    <row r="16" spans="1:5" x14ac:dyDescent="0.35">
      <c r="A16" s="20">
        <f ca="1"/>
        <v>36</v>
      </c>
      <c r="B16" t="str">
        <f ca="1"/>
        <v>Horstmann et al., 2022</v>
      </c>
      <c r="C16" s="20">
        <f ca="1"/>
        <v>26</v>
      </c>
      <c r="D16" s="20">
        <f ca="1"/>
        <v>83.7</v>
      </c>
      <c r="E16" s="20">
        <f ca="1"/>
        <v>12.7</v>
      </c>
    </row>
    <row r="17" spans="1:5" x14ac:dyDescent="0.35">
      <c r="A17" s="20">
        <f ca="1"/>
        <v>36</v>
      </c>
      <c r="B17" t="str">
        <f ca="1"/>
        <v>Horstmann et al., 2022</v>
      </c>
      <c r="C17" s="20">
        <f ca="1"/>
        <v>23</v>
      </c>
      <c r="D17" s="20">
        <f ca="1"/>
        <v>89.3</v>
      </c>
      <c r="E17" s="20">
        <f ca="1"/>
        <v>12.2</v>
      </c>
    </row>
    <row r="18" spans="1:5" x14ac:dyDescent="0.35">
      <c r="A18" s="20">
        <f ca="1"/>
        <v>38</v>
      </c>
      <c r="B18" t="str">
        <f ca="1"/>
        <v>Iliopoulos et al., 2017</v>
      </c>
      <c r="C18" s="20">
        <f ca="1"/>
        <v>45</v>
      </c>
      <c r="D18" s="20">
        <f ca="1"/>
        <v>83.2</v>
      </c>
      <c r="E18" s="20">
        <f ca="1"/>
        <v>2.8</v>
      </c>
    </row>
    <row r="19" spans="1:5" x14ac:dyDescent="0.35">
      <c r="A19" s="20">
        <f ca="1"/>
        <v>38</v>
      </c>
      <c r="B19" t="str">
        <f ca="1"/>
        <v>Iliopoulos et al., 2017</v>
      </c>
      <c r="C19" s="20">
        <f ca="1"/>
        <v>45</v>
      </c>
      <c r="D19" s="20">
        <f ca="1"/>
        <v>82.78</v>
      </c>
      <c r="E19" s="20">
        <f ca="1"/>
        <v>2.8</v>
      </c>
    </row>
    <row r="20" spans="1:5" x14ac:dyDescent="0.35">
      <c r="A20" s="20">
        <f ca="1"/>
        <v>44</v>
      </c>
      <c r="B20" t="str">
        <f ca="1"/>
        <v>Komzak et al., 2022</v>
      </c>
      <c r="C20" s="20">
        <f ca="1"/>
        <v>36</v>
      </c>
      <c r="D20" s="20">
        <f ca="1"/>
        <v>74.2</v>
      </c>
      <c r="E20" s="20">
        <f ca="1"/>
        <v>10.199999999999999</v>
      </c>
    </row>
    <row r="21" spans="1:5" x14ac:dyDescent="0.35">
      <c r="A21" s="20">
        <f ca="1"/>
        <v>44</v>
      </c>
      <c r="B21" t="str">
        <f ca="1"/>
        <v>Komzak et al., 2022</v>
      </c>
      <c r="C21" s="20">
        <f ca="1"/>
        <v>36</v>
      </c>
      <c r="D21" s="20">
        <f ca="1"/>
        <v>78.3</v>
      </c>
      <c r="E21" s="20">
        <f ca="1"/>
        <v>10.5</v>
      </c>
    </row>
    <row r="22" spans="1:5" x14ac:dyDescent="0.35">
      <c r="A22" s="20">
        <f ca="1"/>
        <v>51</v>
      </c>
      <c r="B22" t="str">
        <f ca="1"/>
        <v>Li et al., 2015</v>
      </c>
      <c r="C22" s="20">
        <f ca="1"/>
        <v>32</v>
      </c>
      <c r="D22" s="20">
        <f ca="1"/>
        <v>87.5</v>
      </c>
      <c r="E22" s="20">
        <f ca="1"/>
        <v>3.2</v>
      </c>
    </row>
    <row r="23" spans="1:5" x14ac:dyDescent="0.35">
      <c r="A23" s="20">
        <f ca="1"/>
        <v>51</v>
      </c>
      <c r="B23" t="str">
        <f ca="1"/>
        <v>Li et al., 2015</v>
      </c>
      <c r="C23" s="20">
        <f ca="1"/>
        <v>32</v>
      </c>
      <c r="D23" s="20">
        <f ca="1"/>
        <v>83.8</v>
      </c>
      <c r="E23" s="20">
        <f ca="1"/>
        <v>6.9</v>
      </c>
    </row>
    <row r="24" spans="1:5" x14ac:dyDescent="0.35">
      <c r="A24" s="20">
        <f ca="1"/>
        <v>53</v>
      </c>
      <c r="B24" t="str">
        <f ca="1"/>
        <v>Lind et al., 2020</v>
      </c>
      <c r="C24" s="20">
        <f ca="1"/>
        <v>49</v>
      </c>
      <c r="D24" s="20">
        <f ca="1"/>
        <v>78</v>
      </c>
      <c r="E24" s="20">
        <f ca="1"/>
        <v>18</v>
      </c>
    </row>
    <row r="25" spans="1:5" x14ac:dyDescent="0.35">
      <c r="A25" s="20">
        <f ca="1"/>
        <v>53</v>
      </c>
      <c r="B25" t="str">
        <f ca="1"/>
        <v>Lind et al., 2020</v>
      </c>
      <c r="C25" s="20">
        <f ca="1"/>
        <v>47</v>
      </c>
      <c r="D25" s="20">
        <f ca="1"/>
        <v>82</v>
      </c>
      <c r="E25" s="20">
        <f ca="1"/>
        <v>14</v>
      </c>
    </row>
    <row r="26" spans="1:5" x14ac:dyDescent="0.35">
      <c r="A26" s="20">
        <f ca="1"/>
        <v>54</v>
      </c>
      <c r="B26" t="str">
        <f ca="1"/>
        <v>Lucidi et al., 2025</v>
      </c>
      <c r="C26" s="20">
        <f ca="1"/>
        <v>19</v>
      </c>
      <c r="D26" s="20">
        <f ca="1"/>
        <v>78.400000000000006</v>
      </c>
      <c r="E26" s="20">
        <f ca="1"/>
        <v>13.7</v>
      </c>
    </row>
    <row r="27" spans="1:5" x14ac:dyDescent="0.35">
      <c r="A27" s="20">
        <f ca="1"/>
        <v>54</v>
      </c>
      <c r="B27" t="str">
        <f ca="1"/>
        <v>Lucidi et al., 2025</v>
      </c>
      <c r="C27" s="20">
        <f ca="1"/>
        <v>20</v>
      </c>
      <c r="D27" s="20">
        <f ca="1"/>
        <v>81.599999999999994</v>
      </c>
      <c r="E27" s="20">
        <f ca="1"/>
        <v>11.9</v>
      </c>
    </row>
    <row r="28" spans="1:5" x14ac:dyDescent="0.35">
      <c r="A28" s="20">
        <f ca="1"/>
        <v>55</v>
      </c>
      <c r="B28" t="str">
        <f ca="1"/>
        <v>Lui et al., 2012</v>
      </c>
      <c r="C28" s="20">
        <f ca="1"/>
        <v>14</v>
      </c>
      <c r="D28" s="20">
        <f ca="1"/>
        <v>71.900000000000006</v>
      </c>
      <c r="E28" s="20">
        <f ca="1"/>
        <v>15.2</v>
      </c>
    </row>
    <row r="29" spans="1:5" x14ac:dyDescent="0.35">
      <c r="A29" s="20">
        <f ca="1"/>
        <v>55</v>
      </c>
      <c r="B29" t="str">
        <f ca="1"/>
        <v>Lui et al., 2012</v>
      </c>
      <c r="C29" s="20">
        <f ca="1"/>
        <v>17</v>
      </c>
      <c r="D29" s="20">
        <f ca="1"/>
        <v>73.099999999999994</v>
      </c>
      <c r="E29" s="20">
        <f ca="1"/>
        <v>12.3</v>
      </c>
    </row>
    <row r="30" spans="1:5" x14ac:dyDescent="0.35">
      <c r="A30" s="20">
        <f ca="1"/>
        <v>56</v>
      </c>
      <c r="B30" t="str">
        <f ca="1"/>
        <v>Lund et al., 2014</v>
      </c>
      <c r="C30" s="20">
        <f ca="1"/>
        <v>18</v>
      </c>
      <c r="D30" s="20">
        <f ca="1"/>
        <v>75</v>
      </c>
      <c r="E30" s="20">
        <f ca="1"/>
        <v>13</v>
      </c>
    </row>
    <row r="31" spans="1:5" x14ac:dyDescent="0.35">
      <c r="A31" s="20">
        <f ca="1"/>
        <v>56</v>
      </c>
      <c r="B31" t="str">
        <f ca="1"/>
        <v>Lund et al., 2014</v>
      </c>
      <c r="C31" s="20">
        <f ca="1"/>
        <v>21</v>
      </c>
      <c r="D31" s="20">
        <f ca="1"/>
        <v>76</v>
      </c>
      <c r="E31" s="20">
        <f ca="1"/>
        <v>16</v>
      </c>
    </row>
    <row r="32" spans="1:5" x14ac:dyDescent="0.35">
      <c r="A32" s="20">
        <f ca="1"/>
        <v>58</v>
      </c>
      <c r="B32" t="str">
        <f ca="1"/>
        <v>Malik et al., 2026</v>
      </c>
      <c r="C32" s="20">
        <f ca="1"/>
        <v>25</v>
      </c>
      <c r="D32" s="20">
        <f ca="1"/>
        <v>78.900000000000006</v>
      </c>
      <c r="E32" s="20">
        <f ca="1"/>
        <v>7.4</v>
      </c>
    </row>
    <row r="33" spans="1:5" x14ac:dyDescent="0.35">
      <c r="A33" s="20">
        <f ca="1"/>
        <v>58</v>
      </c>
      <c r="B33" t="str">
        <f ca="1"/>
        <v>Malik et al., 2026</v>
      </c>
      <c r="C33" s="20">
        <f ca="1"/>
        <v>25</v>
      </c>
      <c r="D33" s="20">
        <f ca="1"/>
        <v>82.6</v>
      </c>
      <c r="E33" s="20">
        <f ca="1"/>
        <v>6.3</v>
      </c>
    </row>
    <row r="34" spans="1:5" x14ac:dyDescent="0.35">
      <c r="A34" s="20">
        <f ca="1"/>
        <v>62</v>
      </c>
      <c r="B34" t="str">
        <f ca="1"/>
        <v>Matsumoto et al., 2006</v>
      </c>
      <c r="C34" s="20">
        <f ca="1"/>
        <v>37</v>
      </c>
      <c r="D34" s="20">
        <f ca="1"/>
        <v>84.3</v>
      </c>
      <c r="E34" s="20">
        <f ca="1"/>
        <v>11</v>
      </c>
    </row>
    <row r="35" spans="1:5" x14ac:dyDescent="0.35">
      <c r="A35" s="20">
        <f ca="1"/>
        <v>62</v>
      </c>
      <c r="B35" t="str">
        <f ca="1"/>
        <v>Matsumoto et al., 2006</v>
      </c>
      <c r="C35" s="20">
        <f ca="1"/>
        <v>35</v>
      </c>
      <c r="D35" s="20">
        <f ca="1"/>
        <v>86.8</v>
      </c>
      <c r="E35" s="20">
        <f ca="1"/>
        <v>8.3000000000000007</v>
      </c>
    </row>
    <row r="36" spans="1:5" x14ac:dyDescent="0.35">
      <c r="A36" s="20">
        <f ca="1"/>
        <v>68</v>
      </c>
      <c r="B36" t="str">
        <f ca="1"/>
        <v>Moraiti et al., 2010</v>
      </c>
      <c r="C36" s="20">
        <f ca="1"/>
        <v>6</v>
      </c>
      <c r="D36" s="20">
        <f ca="1"/>
        <v>92</v>
      </c>
      <c r="E36" s="20">
        <f ca="1"/>
        <v>7</v>
      </c>
    </row>
    <row r="37" spans="1:5" x14ac:dyDescent="0.35">
      <c r="A37" s="20">
        <f ca="1"/>
        <v>68</v>
      </c>
      <c r="B37" t="str">
        <f ca="1"/>
        <v>Moraiti et al., 2010</v>
      </c>
      <c r="C37" s="20">
        <f ca="1"/>
        <v>6</v>
      </c>
      <c r="D37" s="20">
        <f ca="1"/>
        <v>90</v>
      </c>
      <c r="E37" s="20">
        <f ca="1"/>
        <v>10</v>
      </c>
    </row>
    <row r="38" spans="1:5" x14ac:dyDescent="0.35">
      <c r="A38" s="20">
        <f ca="1"/>
        <v>73</v>
      </c>
      <c r="B38" t="str">
        <f ca="1"/>
        <v>Papalia et al., 2015</v>
      </c>
      <c r="C38" s="20">
        <f ca="1"/>
        <v>20</v>
      </c>
      <c r="D38" s="20">
        <f ca="1"/>
        <v>86.9</v>
      </c>
      <c r="E38" s="20">
        <f ca="1"/>
        <v>11.7</v>
      </c>
    </row>
    <row r="39" spans="1:5" x14ac:dyDescent="0.35">
      <c r="A39" s="20">
        <f ca="1"/>
        <v>73</v>
      </c>
      <c r="B39" t="str">
        <f ca="1"/>
        <v>Papalia et al., 2015</v>
      </c>
      <c r="C39" s="20">
        <f ca="1"/>
        <v>20</v>
      </c>
      <c r="D39" s="20">
        <f ca="1"/>
        <v>90.97</v>
      </c>
      <c r="E39" s="20">
        <f ca="1"/>
        <v>5.0999999999999996</v>
      </c>
    </row>
    <row r="40" spans="1:5" x14ac:dyDescent="0.35">
      <c r="A40" s="20">
        <f ca="1"/>
        <v>76</v>
      </c>
      <c r="B40" t="str">
        <f ca="1"/>
        <v>Pinczewski et al., 2007</v>
      </c>
      <c r="C40" s="20">
        <f ca="1"/>
        <v>0</v>
      </c>
      <c r="D40" s="20">
        <f ca="1"/>
        <v>0</v>
      </c>
      <c r="E40" s="20">
        <f ca="1"/>
        <v>0</v>
      </c>
    </row>
    <row r="41" spans="1:5" x14ac:dyDescent="0.35">
      <c r="A41" s="20">
        <f ca="1"/>
        <v>76</v>
      </c>
      <c r="B41" t="str">
        <f ca="1"/>
        <v>Pinczewski et al., 2007</v>
      </c>
      <c r="C41" s="20">
        <f ca="1"/>
        <v>0</v>
      </c>
      <c r="D41" s="20">
        <f ca="1"/>
        <v>0</v>
      </c>
      <c r="E41" s="20">
        <f ca="1"/>
        <v>0</v>
      </c>
    </row>
    <row r="42" spans="1:5" x14ac:dyDescent="0.35">
      <c r="A42" s="20">
        <f ca="1"/>
        <v>84</v>
      </c>
      <c r="B42" t="str">
        <f ca="1"/>
        <v>Sinding et al., 2020</v>
      </c>
      <c r="C42" s="20">
        <f ca="1"/>
        <v>43</v>
      </c>
      <c r="D42" s="20">
        <f ca="1"/>
        <v>76</v>
      </c>
      <c r="E42" s="20">
        <f ca="1"/>
        <v>15</v>
      </c>
    </row>
    <row r="43" spans="1:5" x14ac:dyDescent="0.35">
      <c r="A43" s="20">
        <f ca="1"/>
        <v>84</v>
      </c>
      <c r="B43" t="str">
        <f ca="1"/>
        <v>Sinding et al., 2020</v>
      </c>
      <c r="C43" s="20">
        <f ca="1"/>
        <v>42</v>
      </c>
      <c r="D43" s="20">
        <f ca="1"/>
        <v>76</v>
      </c>
      <c r="E43" s="20">
        <f ca="1"/>
        <v>17</v>
      </c>
    </row>
    <row r="44" spans="1:5" x14ac:dyDescent="0.35">
      <c r="A44" s="20">
        <f ca="1"/>
        <v>85</v>
      </c>
      <c r="B44" t="str">
        <f ca="1"/>
        <v>Smith et al., 2020</v>
      </c>
      <c r="C44" s="20">
        <f ca="1"/>
        <v>32</v>
      </c>
      <c r="D44" s="20">
        <f ca="1"/>
        <v>89.4</v>
      </c>
      <c r="E44" s="20">
        <f ca="1"/>
        <v>9.1999999999999993</v>
      </c>
    </row>
    <row r="45" spans="1:5" x14ac:dyDescent="0.35">
      <c r="A45" s="20">
        <f ca="1"/>
        <v>85</v>
      </c>
      <c r="B45" t="str">
        <f ca="1"/>
        <v>Smith et al., 2020</v>
      </c>
      <c r="C45" s="20">
        <f ca="1"/>
        <v>32</v>
      </c>
      <c r="D45" s="20">
        <f ca="1"/>
        <v>94.8</v>
      </c>
      <c r="E45" s="20">
        <f ca="1"/>
        <v>6.4</v>
      </c>
    </row>
    <row r="46" spans="1:5" x14ac:dyDescent="0.35">
      <c r="A46" s="20">
        <f ca="1"/>
        <v>87</v>
      </c>
      <c r="B46" t="str">
        <f ca="1"/>
        <v>Sonnery-cottet et al., 2026</v>
      </c>
      <c r="C46" s="20">
        <f ca="1"/>
        <v>296</v>
      </c>
      <c r="D46" s="20">
        <f ca="1"/>
        <v>89.4</v>
      </c>
      <c r="E46" s="20">
        <f ca="1"/>
        <v>10.9</v>
      </c>
    </row>
    <row r="47" spans="1:5" x14ac:dyDescent="0.35">
      <c r="A47" s="20">
        <f ca="1"/>
        <v>87</v>
      </c>
      <c r="B47" t="str">
        <f ca="1"/>
        <v>Sonnery-cottet et al., 2026</v>
      </c>
      <c r="C47" s="20">
        <f ca="1"/>
        <v>297</v>
      </c>
      <c r="D47" s="20">
        <f ca="1"/>
        <v>91</v>
      </c>
      <c r="E47" s="20">
        <f ca="1"/>
        <v>10.3</v>
      </c>
    </row>
    <row r="48" spans="1:5" x14ac:dyDescent="0.35">
      <c r="A48" s="20">
        <f ca="1"/>
        <v>89</v>
      </c>
      <c r="B48" t="str">
        <f ca="1"/>
        <v>Tang et al., 2023</v>
      </c>
      <c r="C48" s="20">
        <f ca="1"/>
        <v>16</v>
      </c>
      <c r="D48" s="20">
        <f ca="1"/>
        <v>90.13</v>
      </c>
      <c r="E48" s="20">
        <f ca="1"/>
        <v>6.99</v>
      </c>
    </row>
    <row r="49" spans="1:5" x14ac:dyDescent="0.35">
      <c r="A49" s="20">
        <f ca="1"/>
        <v>89</v>
      </c>
      <c r="B49" t="str">
        <f ca="1"/>
        <v>Tang et al., 2023</v>
      </c>
      <c r="C49" s="20">
        <f ca="1"/>
        <v>17</v>
      </c>
      <c r="D49" s="20">
        <f ca="1"/>
        <v>87.12</v>
      </c>
      <c r="E49" s="20">
        <f ca="1"/>
        <v>6.61</v>
      </c>
    </row>
    <row r="50" spans="1:5" x14ac:dyDescent="0.35">
      <c r="A50" s="20">
        <f ca="1"/>
        <v>93</v>
      </c>
      <c r="B50" t="str">
        <f ca="1"/>
        <v>Vilchez-cavazos et al., 2020</v>
      </c>
      <c r="C50" s="20">
        <f ca="1"/>
        <v>14</v>
      </c>
      <c r="D50" s="20">
        <f ca="1"/>
        <v>90</v>
      </c>
      <c r="E50" s="20">
        <f ca="1"/>
        <v>1.7569999999999999</v>
      </c>
    </row>
    <row r="51" spans="1:5" x14ac:dyDescent="0.35">
      <c r="A51" s="20">
        <f ca="1"/>
        <v>93</v>
      </c>
      <c r="B51" t="str">
        <f ca="1"/>
        <v>Vilchez-cavazos et al., 2020</v>
      </c>
      <c r="C51" s="20">
        <f ca="1"/>
        <v>14</v>
      </c>
      <c r="D51" s="20">
        <f ca="1"/>
        <v>88.17</v>
      </c>
      <c r="E51" s="20">
        <f ca="1"/>
        <v>2.4889999999999999</v>
      </c>
    </row>
    <row r="52" spans="1:5" x14ac:dyDescent="0.35">
      <c r="A52" s="20">
        <f ca="1"/>
        <v>96</v>
      </c>
      <c r="B52" t="str">
        <f ca="1"/>
        <v>Wipfler et al., 2011</v>
      </c>
      <c r="C52" s="20">
        <f ca="1"/>
        <v>29</v>
      </c>
      <c r="D52" s="20">
        <f ca="1"/>
        <v>86.72</v>
      </c>
      <c r="E52" s="20">
        <f ca="1"/>
        <v>2.2709999999999999</v>
      </c>
    </row>
    <row r="53" spans="1:5" x14ac:dyDescent="0.35">
      <c r="A53" s="20">
        <f ca="1"/>
        <v>96</v>
      </c>
      <c r="B53" t="str">
        <f ca="1"/>
        <v>Wipfler et al., 2011</v>
      </c>
      <c r="C53" s="20">
        <f ca="1"/>
        <v>25</v>
      </c>
      <c r="D53" s="20">
        <f ca="1"/>
        <v>92.95</v>
      </c>
      <c r="E53" s="20">
        <f ca="1"/>
        <v>1.992</v>
      </c>
    </row>
    <row r="54" spans="1:5" x14ac:dyDescent="0.35">
      <c r="A54" s="20">
        <f ca="1"/>
        <v>100</v>
      </c>
      <c r="B54" t="str">
        <f ca="1"/>
        <v>Zaffagnini et al., 2011</v>
      </c>
      <c r="C54" s="20">
        <f ca="1"/>
        <v>40</v>
      </c>
      <c r="D54" s="20">
        <f ca="1"/>
        <v>82</v>
      </c>
      <c r="E54" s="20">
        <f ca="1"/>
        <v>20</v>
      </c>
    </row>
    <row r="55" spans="1:5" x14ac:dyDescent="0.35">
      <c r="A55" s="20">
        <f ca="1"/>
        <v>100</v>
      </c>
      <c r="B55" t="str">
        <f ca="1"/>
        <v>Zaffagnini et al., 2011</v>
      </c>
      <c r="C55" s="20">
        <f ca="1"/>
        <v>39</v>
      </c>
      <c r="D55" s="20">
        <f ca="1"/>
        <v>88</v>
      </c>
      <c r="E55" s="20">
        <f ca="1"/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0504-E34B-484C-9535-F7ED9571B3B6}">
  <dimension ref="A1:E69"/>
  <sheetViews>
    <sheetView workbookViewId="0">
      <selection sqref="A1:XFD1048576"/>
    </sheetView>
  </sheetViews>
  <sheetFormatPr defaultRowHeight="14.5" x14ac:dyDescent="0.35"/>
  <cols>
    <col min="1" max="1" width="3.81640625" style="20" bestFit="1" customWidth="1"/>
    <col min="2" max="2" width="23.36328125" style="22" bestFit="1" customWidth="1"/>
    <col min="3" max="3" width="10.36328125" style="20" bestFit="1" customWidth="1"/>
    <col min="4" max="4" width="9.08984375" style="20" bestFit="1" customWidth="1"/>
    <col min="5" max="5" width="15.90625" style="20" bestFit="1" customWidth="1"/>
  </cols>
  <sheetData>
    <row r="1" spans="1:5" x14ac:dyDescent="0.35">
      <c r="A1" s="20" t="s">
        <v>73</v>
      </c>
      <c r="B1" s="22" t="s">
        <v>74</v>
      </c>
      <c r="C1" s="20" t="s">
        <v>78</v>
      </c>
      <c r="D1" s="20" t="s">
        <v>79</v>
      </c>
      <c r="E1" s="20" t="s">
        <v>90</v>
      </c>
    </row>
    <row r="2" spans="1:5" x14ac:dyDescent="0.35">
      <c r="A2" s="20" cm="1">
        <f t="array" aca="1" ref="A2:A69" ca="1">IF(A$1&lt;&gt;"",_xlfn._xlws.FILTER(INDIRECT(SUBSTITUTE(A$1, " ","_")),Outcome="lysholm",""),"")</f>
        <v>3</v>
      </c>
      <c r="B2" s="22" t="str" cm="1">
        <f t="array" aca="1" ref="B2:B69" ca="1">IF(B$1&lt;&gt;"",_xlfn._xlws.FILTER(INDIRECT(SUBSTITUTE(B$1, " ","_")),Outcome="lysholm",""),"")</f>
        <v>Ahldén et al., 2009</v>
      </c>
      <c r="C2" s="20" cm="1">
        <f t="array" aca="1" ref="C2:C69" ca="1">IF(C$1&lt;&gt;"",_xlfn._xlws.FILTER(INDIRECT(SUBSTITUTE(C$1, " ","_")),Outcome="lysholm",""),"")</f>
        <v>25</v>
      </c>
      <c r="D2" s="20" cm="1">
        <f t="array" aca="1" ref="D2:D69" ca="1">IF(D$1&lt;&gt;"",_xlfn._xlws.FILTER(INDIRECT(SUBSTITUTE(D$1, " ","_")),Outcome="lysholm",""),"")</f>
        <v>80.7</v>
      </c>
      <c r="E2" s="20" cm="1">
        <f t="array" aca="1" ref="E2:E69" ca="1">IF(E$1&lt;&gt;"",_xlfn._xlws.FILTER(INDIRECT(SUBSTITUTE(E$1, " ","_")),Outcome="lysholm",""),"")</f>
        <v>21.637</v>
      </c>
    </row>
    <row r="3" spans="1:5" x14ac:dyDescent="0.35">
      <c r="A3" s="20">
        <f ca="1"/>
        <v>3</v>
      </c>
      <c r="B3" s="22" t="str">
        <f ca="1"/>
        <v>Ahldén et al., 2009</v>
      </c>
      <c r="C3" s="20">
        <f ca="1"/>
        <v>22</v>
      </c>
      <c r="D3" s="20">
        <f ca="1"/>
        <v>79.16</v>
      </c>
      <c r="E3" s="20">
        <f ca="1"/>
        <v>13.353</v>
      </c>
    </row>
    <row r="4" spans="1:5" x14ac:dyDescent="0.35">
      <c r="A4" s="20">
        <f ca="1"/>
        <v>9</v>
      </c>
      <c r="B4" s="22" t="str">
        <f ca="1"/>
        <v>Barenius et al., 2010</v>
      </c>
      <c r="C4" s="20">
        <f ca="1"/>
        <v>78</v>
      </c>
      <c r="D4" s="20">
        <f ca="1"/>
        <v>85.82</v>
      </c>
      <c r="E4" s="20">
        <f ca="1"/>
        <v>11.827999999999999</v>
      </c>
    </row>
    <row r="5" spans="1:5" x14ac:dyDescent="0.35">
      <c r="A5" s="20">
        <f ca="1"/>
        <v>9</v>
      </c>
      <c r="B5" s="22" t="str">
        <f ca="1"/>
        <v>Barenius et al., 2010</v>
      </c>
      <c r="C5" s="20">
        <f ca="1"/>
        <v>75</v>
      </c>
      <c r="D5" s="20">
        <f ca="1"/>
        <v>86.42</v>
      </c>
      <c r="E5" s="20">
        <f ca="1"/>
        <v>12.525</v>
      </c>
    </row>
    <row r="6" spans="1:5" x14ac:dyDescent="0.35">
      <c r="A6" s="20">
        <f ca="1"/>
        <v>10</v>
      </c>
      <c r="B6" s="22" t="str">
        <f ca="1"/>
        <v>Barié et al., 2020</v>
      </c>
      <c r="C6" s="20">
        <f ca="1"/>
        <v>43</v>
      </c>
      <c r="D6" s="20">
        <f ca="1"/>
        <v>95.2</v>
      </c>
      <c r="E6" s="20">
        <f ca="1"/>
        <v>6.6</v>
      </c>
    </row>
    <row r="7" spans="1:5" x14ac:dyDescent="0.35">
      <c r="A7" s="20">
        <f ca="1"/>
        <v>10</v>
      </c>
      <c r="B7" s="22" t="str">
        <f ca="1"/>
        <v>Barié et al., 2020</v>
      </c>
      <c r="C7" s="20">
        <f ca="1"/>
        <v>43</v>
      </c>
      <c r="D7" s="20">
        <f ca="1"/>
        <v>95.6</v>
      </c>
      <c r="E7" s="20">
        <f ca="1"/>
        <v>7.8</v>
      </c>
    </row>
    <row r="8" spans="1:5" x14ac:dyDescent="0.35">
      <c r="A8" s="20">
        <f ca="1"/>
        <v>13</v>
      </c>
      <c r="B8" s="22" t="str">
        <f ca="1"/>
        <v>Björnsson et al., 2016</v>
      </c>
      <c r="C8" s="20">
        <f ca="1"/>
        <v>61</v>
      </c>
      <c r="D8" s="20">
        <f ca="1"/>
        <v>79.400000000000006</v>
      </c>
      <c r="E8" s="20">
        <f ca="1"/>
        <v>16.899999999999999</v>
      </c>
    </row>
    <row r="9" spans="1:5" x14ac:dyDescent="0.35">
      <c r="A9" s="20">
        <f ca="1"/>
        <v>13</v>
      </c>
      <c r="B9" s="22" t="str">
        <f ca="1"/>
        <v>Björnsson et al., 2016</v>
      </c>
      <c r="C9" s="20">
        <f ca="1"/>
        <v>86</v>
      </c>
      <c r="D9" s="20">
        <f ca="1"/>
        <v>80.7</v>
      </c>
      <c r="E9" s="20">
        <f ca="1"/>
        <v>15.3</v>
      </c>
    </row>
    <row r="10" spans="1:5" x14ac:dyDescent="0.35">
      <c r="A10" s="20">
        <f ca="1"/>
        <v>18</v>
      </c>
      <c r="B10" s="22" t="str">
        <f ca="1"/>
        <v>Butt et al., 2024</v>
      </c>
      <c r="C10" s="20">
        <f ca="1"/>
        <v>30</v>
      </c>
      <c r="D10" s="20">
        <f ca="1"/>
        <v>95.1</v>
      </c>
      <c r="E10" s="20">
        <f ca="1"/>
        <v>5.2</v>
      </c>
    </row>
    <row r="11" spans="1:5" x14ac:dyDescent="0.35">
      <c r="A11" s="20">
        <f ca="1"/>
        <v>18</v>
      </c>
      <c r="B11" s="22" t="str">
        <f ca="1"/>
        <v>Butt et al., 2024</v>
      </c>
      <c r="C11" s="20">
        <f ca="1"/>
        <v>30</v>
      </c>
      <c r="D11" s="20">
        <f ca="1"/>
        <v>94.5</v>
      </c>
      <c r="E11" s="20">
        <f ca="1"/>
        <v>6.4</v>
      </c>
    </row>
    <row r="12" spans="1:5" x14ac:dyDescent="0.35">
      <c r="A12" s="20">
        <f ca="1"/>
        <v>19</v>
      </c>
      <c r="B12" s="22" t="str">
        <f ca="1"/>
        <v>Calvert et al., 2025</v>
      </c>
      <c r="C12" s="20">
        <f ca="1"/>
        <v>92</v>
      </c>
      <c r="D12" s="20">
        <f ca="1"/>
        <v>94</v>
      </c>
      <c r="E12" s="20">
        <f ca="1"/>
        <v>7</v>
      </c>
    </row>
    <row r="13" spans="1:5" x14ac:dyDescent="0.35">
      <c r="A13" s="20">
        <f ca="1"/>
        <v>19</v>
      </c>
      <c r="B13" s="22" t="str">
        <f ca="1"/>
        <v>Calvert et al., 2025</v>
      </c>
      <c r="C13" s="20">
        <f ca="1"/>
        <v>89</v>
      </c>
      <c r="D13" s="20">
        <f ca="1"/>
        <v>93</v>
      </c>
      <c r="E13" s="20">
        <f ca="1"/>
        <v>8</v>
      </c>
    </row>
    <row r="14" spans="1:5" x14ac:dyDescent="0.35">
      <c r="A14" s="20">
        <f ca="1"/>
        <v>23</v>
      </c>
      <c r="B14" s="22" t="str">
        <f ca="1"/>
        <v>Ejerhed et al., 2003</v>
      </c>
      <c r="C14" s="20">
        <f ca="1"/>
        <v>32</v>
      </c>
      <c r="D14" s="20">
        <f ca="1"/>
        <v>89.96</v>
      </c>
      <c r="E14" s="20">
        <f ca="1"/>
        <v>13.064</v>
      </c>
    </row>
    <row r="15" spans="1:5" x14ac:dyDescent="0.35">
      <c r="A15" s="20">
        <f ca="1"/>
        <v>23</v>
      </c>
      <c r="B15" s="22" t="str">
        <f ca="1"/>
        <v>Ejerhed et al., 2003</v>
      </c>
      <c r="C15" s="20">
        <f ca="1"/>
        <v>34</v>
      </c>
      <c r="D15" s="20">
        <f ca="1"/>
        <v>86.79</v>
      </c>
      <c r="E15" s="20">
        <f ca="1"/>
        <v>11.715</v>
      </c>
    </row>
    <row r="16" spans="1:5" x14ac:dyDescent="0.35">
      <c r="A16" s="20">
        <f ca="1"/>
        <v>32</v>
      </c>
      <c r="B16" s="22" t="str">
        <f ca="1"/>
        <v>Guglielmetti et al., 2021</v>
      </c>
      <c r="C16" s="20">
        <f ca="1"/>
        <v>31</v>
      </c>
      <c r="D16" s="20">
        <f ca="1"/>
        <v>89.87</v>
      </c>
      <c r="E16" s="20">
        <f ca="1"/>
        <v>9.17</v>
      </c>
    </row>
    <row r="17" spans="1:5" x14ac:dyDescent="0.35">
      <c r="A17" s="20">
        <f ca="1"/>
        <v>32</v>
      </c>
      <c r="B17" s="22" t="str">
        <f ca="1"/>
        <v>Guglielmetti et al., 2021</v>
      </c>
      <c r="C17" s="20">
        <f ca="1"/>
        <v>31</v>
      </c>
      <c r="D17" s="20">
        <f ca="1"/>
        <v>91.26</v>
      </c>
      <c r="E17" s="20">
        <f ca="1"/>
        <v>9.36</v>
      </c>
    </row>
    <row r="18" spans="1:5" x14ac:dyDescent="0.35">
      <c r="A18" s="20">
        <f ca="1"/>
        <v>33</v>
      </c>
      <c r="B18" s="22" t="str">
        <f ca="1"/>
        <v>Harilainen et al., 2006</v>
      </c>
      <c r="C18" s="20">
        <f ca="1"/>
        <v>37</v>
      </c>
      <c r="D18" s="20">
        <f ca="1"/>
        <v>89.11</v>
      </c>
      <c r="E18" s="20">
        <f ca="1"/>
        <v>15.526999999999999</v>
      </c>
    </row>
    <row r="19" spans="1:5" x14ac:dyDescent="0.35">
      <c r="A19" s="20">
        <f ca="1"/>
        <v>33</v>
      </c>
      <c r="B19" s="22" t="str">
        <f ca="1"/>
        <v>Harilainen et al., 2006</v>
      </c>
      <c r="C19" s="20">
        <f ca="1"/>
        <v>37</v>
      </c>
      <c r="D19" s="20">
        <f ca="1"/>
        <v>95</v>
      </c>
      <c r="E19" s="20">
        <f ca="1"/>
        <v>15.526999999999999</v>
      </c>
    </row>
    <row r="20" spans="1:5" x14ac:dyDescent="0.35">
      <c r="A20" s="20">
        <f ca="1"/>
        <v>35</v>
      </c>
      <c r="B20" s="22" t="str">
        <f ca="1"/>
        <v>Holm et al., 2010</v>
      </c>
      <c r="C20" s="20">
        <f ca="1"/>
        <v>28</v>
      </c>
      <c r="D20" s="20">
        <f ca="1"/>
        <v>84.2</v>
      </c>
      <c r="E20" s="20">
        <f ca="1"/>
        <v>15.4</v>
      </c>
    </row>
    <row r="21" spans="1:5" x14ac:dyDescent="0.35">
      <c r="A21" s="20">
        <f ca="1"/>
        <v>35</v>
      </c>
      <c r="B21" s="22" t="str">
        <f ca="1"/>
        <v>Holm et al., 2010</v>
      </c>
      <c r="C21" s="20">
        <f ca="1"/>
        <v>29</v>
      </c>
      <c r="D21" s="20">
        <f ca="1"/>
        <v>86.1</v>
      </c>
      <c r="E21" s="20">
        <f ca="1"/>
        <v>15.1</v>
      </c>
    </row>
    <row r="22" spans="1:5" x14ac:dyDescent="0.35">
      <c r="A22" s="20">
        <f ca="1"/>
        <v>36</v>
      </c>
      <c r="B22" s="22" t="str">
        <f ca="1"/>
        <v>Horstmann et al., 2022</v>
      </c>
      <c r="C22" s="20">
        <f ca="1"/>
        <v>26</v>
      </c>
      <c r="D22" s="20">
        <f ca="1"/>
        <v>83.5</v>
      </c>
      <c r="E22" s="20">
        <f ca="1"/>
        <v>17.399999999999999</v>
      </c>
    </row>
    <row r="23" spans="1:5" x14ac:dyDescent="0.35">
      <c r="A23" s="20">
        <f ca="1"/>
        <v>36</v>
      </c>
      <c r="B23" s="22" t="str">
        <f ca="1"/>
        <v>Horstmann et al., 2022</v>
      </c>
      <c r="C23" s="20">
        <f ca="1"/>
        <v>23</v>
      </c>
      <c r="D23" s="20">
        <f ca="1"/>
        <v>90.4</v>
      </c>
      <c r="E23" s="20">
        <f ca="1"/>
        <v>11.9</v>
      </c>
    </row>
    <row r="24" spans="1:5" x14ac:dyDescent="0.35">
      <c r="A24" s="20">
        <f ca="1"/>
        <v>37</v>
      </c>
      <c r="B24" s="22" t="str">
        <f ca="1"/>
        <v>Ibrahim et al., 2005</v>
      </c>
      <c r="C24" s="20">
        <f ca="1"/>
        <v>40</v>
      </c>
      <c r="D24" s="20">
        <f ca="1"/>
        <v>91.6</v>
      </c>
      <c r="E24" s="20">
        <f ca="1"/>
        <v>3.9420000000000002</v>
      </c>
    </row>
    <row r="25" spans="1:5" x14ac:dyDescent="0.35">
      <c r="A25" s="20">
        <f ca="1"/>
        <v>37</v>
      </c>
      <c r="B25" s="22" t="str">
        <f ca="1"/>
        <v>Ibrahim et al., 2005</v>
      </c>
      <c r="C25" s="20">
        <f ca="1"/>
        <v>46</v>
      </c>
      <c r="D25" s="20">
        <f ca="1"/>
        <v>92.7</v>
      </c>
      <c r="E25" s="20">
        <f ca="1"/>
        <v>3.6179999999999999</v>
      </c>
    </row>
    <row r="26" spans="1:5" x14ac:dyDescent="0.35">
      <c r="A26" s="20">
        <f ca="1"/>
        <v>38</v>
      </c>
      <c r="B26" s="22" t="str">
        <f ca="1"/>
        <v>Iliopoulos et al., 2017</v>
      </c>
      <c r="C26" s="20">
        <f ca="1"/>
        <v>45</v>
      </c>
      <c r="D26" s="20">
        <f ca="1"/>
        <v>95.8</v>
      </c>
      <c r="E26" s="20">
        <f ca="1"/>
        <v>2.4</v>
      </c>
    </row>
    <row r="27" spans="1:5" x14ac:dyDescent="0.35">
      <c r="A27" s="20">
        <f ca="1"/>
        <v>38</v>
      </c>
      <c r="B27" s="22" t="str">
        <f ca="1"/>
        <v>Iliopoulos et al., 2017</v>
      </c>
      <c r="C27" s="20">
        <f ca="1"/>
        <v>45</v>
      </c>
      <c r="D27" s="20">
        <f ca="1"/>
        <v>94</v>
      </c>
      <c r="E27" s="20">
        <f ca="1"/>
        <v>3.6</v>
      </c>
    </row>
    <row r="28" spans="1:5" x14ac:dyDescent="0.35">
      <c r="A28" s="20">
        <f ca="1"/>
        <v>43</v>
      </c>
      <c r="B28" s="22" t="str">
        <f ca="1"/>
        <v>Kautzner et al., 2015</v>
      </c>
      <c r="C28" s="20">
        <f ca="1"/>
        <v>74</v>
      </c>
      <c r="D28" s="20">
        <f ca="1"/>
        <v>88</v>
      </c>
      <c r="E28" s="20">
        <f ca="1"/>
        <v>7.5</v>
      </c>
    </row>
    <row r="29" spans="1:5" x14ac:dyDescent="0.35">
      <c r="A29" s="20">
        <f ca="1"/>
        <v>43</v>
      </c>
      <c r="B29" s="22" t="str">
        <f ca="1"/>
        <v>Kautzner et al., 2015</v>
      </c>
      <c r="C29" s="20">
        <f ca="1"/>
        <v>73</v>
      </c>
      <c r="D29" s="20">
        <f ca="1"/>
        <v>90</v>
      </c>
      <c r="E29" s="20">
        <f ca="1"/>
        <v>7.6</v>
      </c>
    </row>
    <row r="30" spans="1:5" x14ac:dyDescent="0.35">
      <c r="A30" s="20">
        <f ca="1"/>
        <v>44</v>
      </c>
      <c r="B30" s="22" t="str">
        <f ca="1"/>
        <v>Komzak et al., 2022</v>
      </c>
      <c r="C30" s="20">
        <f ca="1"/>
        <v>36</v>
      </c>
      <c r="D30" s="20">
        <f ca="1"/>
        <v>93.4</v>
      </c>
      <c r="E30" s="20">
        <f ca="1"/>
        <v>9.6</v>
      </c>
    </row>
    <row r="31" spans="1:5" x14ac:dyDescent="0.35">
      <c r="A31" s="20">
        <f ca="1"/>
        <v>44</v>
      </c>
      <c r="B31" s="22" t="str">
        <f ca="1"/>
        <v>Komzak et al., 2022</v>
      </c>
      <c r="C31" s="20">
        <f ca="1"/>
        <v>36</v>
      </c>
      <c r="D31" s="20">
        <f ca="1"/>
        <v>90.1</v>
      </c>
      <c r="E31" s="20">
        <f ca="1"/>
        <v>6.7</v>
      </c>
    </row>
    <row r="32" spans="1:5" x14ac:dyDescent="0.35">
      <c r="A32" s="20">
        <f ca="1"/>
        <v>45</v>
      </c>
      <c r="B32" s="22" t="str">
        <f ca="1"/>
        <v>Konrads et al., 2016</v>
      </c>
      <c r="C32" s="20">
        <f ca="1"/>
        <v>24</v>
      </c>
      <c r="D32" s="20">
        <f ca="1"/>
        <v>92</v>
      </c>
      <c r="E32" s="20">
        <f ca="1"/>
        <v>8.9890000000000008</v>
      </c>
    </row>
    <row r="33" spans="1:5" x14ac:dyDescent="0.35">
      <c r="A33" s="20">
        <f ca="1"/>
        <v>45</v>
      </c>
      <c r="B33" s="22" t="str">
        <f ca="1"/>
        <v>Konrads et al., 2016</v>
      </c>
      <c r="C33" s="20">
        <f ca="1"/>
        <v>23</v>
      </c>
      <c r="D33" s="20">
        <f ca="1"/>
        <v>91.8</v>
      </c>
      <c r="E33" s="20">
        <f ca="1"/>
        <v>9.3330000000000002</v>
      </c>
    </row>
    <row r="34" spans="1:5" x14ac:dyDescent="0.35">
      <c r="A34" s="20">
        <f ca="1"/>
        <v>49</v>
      </c>
      <c r="B34" s="22" t="str">
        <f ca="1"/>
        <v>Laxdal et al., 2005</v>
      </c>
      <c r="C34" s="20">
        <f ca="1"/>
        <v>40</v>
      </c>
      <c r="D34" s="20">
        <f ca="1"/>
        <v>94</v>
      </c>
      <c r="E34" s="20">
        <f ca="1"/>
        <v>18.085999999999999</v>
      </c>
    </row>
    <row r="35" spans="1:5" x14ac:dyDescent="0.35">
      <c r="A35" s="20">
        <f ca="1"/>
        <v>49</v>
      </c>
      <c r="B35" s="22" t="str">
        <f ca="1"/>
        <v>Laxdal et al., 2005</v>
      </c>
      <c r="C35" s="20">
        <f ca="1"/>
        <v>78</v>
      </c>
      <c r="D35" s="20">
        <f ca="1"/>
        <v>92</v>
      </c>
      <c r="E35" s="20">
        <f ca="1"/>
        <v>13.398</v>
      </c>
    </row>
    <row r="36" spans="1:5" x14ac:dyDescent="0.35">
      <c r="A36" s="20">
        <f ca="1"/>
        <v>51</v>
      </c>
      <c r="B36" s="22" t="str">
        <f ca="1"/>
        <v>Li et al., 2015</v>
      </c>
      <c r="C36" s="20">
        <f ca="1"/>
        <v>32</v>
      </c>
      <c r="D36" s="20">
        <f ca="1"/>
        <v>91.3</v>
      </c>
      <c r="E36" s="20">
        <f ca="1"/>
        <v>11.5</v>
      </c>
    </row>
    <row r="37" spans="1:5" x14ac:dyDescent="0.35">
      <c r="A37" s="20">
        <f ca="1"/>
        <v>51</v>
      </c>
      <c r="B37" s="22" t="str">
        <f ca="1"/>
        <v>Li et al., 2015</v>
      </c>
      <c r="C37" s="20">
        <f ca="1"/>
        <v>32</v>
      </c>
      <c r="D37" s="20">
        <f ca="1"/>
        <v>88.7</v>
      </c>
      <c r="E37" s="20">
        <f ca="1"/>
        <v>8.6</v>
      </c>
    </row>
    <row r="38" spans="1:5" x14ac:dyDescent="0.35">
      <c r="A38" s="20">
        <f ca="1"/>
        <v>52</v>
      </c>
      <c r="B38" s="22" t="str">
        <f ca="1"/>
        <v>Lidén et al., 2007</v>
      </c>
      <c r="C38" s="20">
        <f ca="1"/>
        <v>30</v>
      </c>
      <c r="D38" s="20">
        <f ca="1"/>
        <v>81</v>
      </c>
      <c r="E38" s="20">
        <f ca="1"/>
        <v>18.38</v>
      </c>
    </row>
    <row r="39" spans="1:5" x14ac:dyDescent="0.35">
      <c r="A39" s="20">
        <f ca="1"/>
        <v>52</v>
      </c>
      <c r="B39" s="22" t="str">
        <f ca="1"/>
        <v>Lidén et al., 2007</v>
      </c>
      <c r="C39" s="20">
        <f ca="1"/>
        <v>32</v>
      </c>
      <c r="D39" s="20">
        <f ca="1"/>
        <v>90</v>
      </c>
      <c r="E39" s="20">
        <f ca="1"/>
        <v>12.096</v>
      </c>
    </row>
    <row r="40" spans="1:5" x14ac:dyDescent="0.35">
      <c r="A40" s="20">
        <f ca="1"/>
        <v>54</v>
      </c>
      <c r="B40" s="22" t="str">
        <f ca="1"/>
        <v>Lucidi et al., 2025</v>
      </c>
      <c r="C40" s="20">
        <f ca="1"/>
        <v>19</v>
      </c>
      <c r="D40" s="20">
        <f ca="1"/>
        <v>84.8</v>
      </c>
      <c r="E40" s="20">
        <f ca="1"/>
        <v>10.3</v>
      </c>
    </row>
    <row r="41" spans="1:5" x14ac:dyDescent="0.35">
      <c r="A41" s="20">
        <f ca="1"/>
        <v>54</v>
      </c>
      <c r="B41" s="22" t="str">
        <f ca="1"/>
        <v>Lucidi et al., 2025</v>
      </c>
      <c r="C41" s="20">
        <f ca="1"/>
        <v>20</v>
      </c>
      <c r="D41" s="20">
        <f ca="1"/>
        <v>88.6</v>
      </c>
      <c r="E41" s="20">
        <f ca="1"/>
        <v>8.3000000000000007</v>
      </c>
    </row>
    <row r="42" spans="1:5" x14ac:dyDescent="0.35">
      <c r="A42" s="20">
        <f ca="1"/>
        <v>55</v>
      </c>
      <c r="B42" s="22" t="str">
        <f ca="1"/>
        <v>Lui et al., 2012</v>
      </c>
      <c r="C42" s="20">
        <f ca="1"/>
        <v>14</v>
      </c>
      <c r="D42" s="20">
        <f ca="1"/>
        <v>84</v>
      </c>
      <c r="E42" s="20">
        <f ca="1"/>
        <v>13.47</v>
      </c>
    </row>
    <row r="43" spans="1:5" x14ac:dyDescent="0.35">
      <c r="A43" s="20">
        <f ca="1"/>
        <v>55</v>
      </c>
      <c r="B43" s="22" t="str">
        <f ca="1"/>
        <v>Lui et al., 2012</v>
      </c>
      <c r="C43" s="20">
        <f ca="1"/>
        <v>17</v>
      </c>
      <c r="D43" s="20">
        <f ca="1"/>
        <v>80</v>
      </c>
      <c r="E43" s="20">
        <f ca="1"/>
        <v>15.589</v>
      </c>
    </row>
    <row r="44" spans="1:5" x14ac:dyDescent="0.35">
      <c r="A44" s="20">
        <f ca="1"/>
        <v>58</v>
      </c>
      <c r="B44" s="22" t="str">
        <f ca="1"/>
        <v>Malik et al., 2026</v>
      </c>
      <c r="C44" s="20">
        <f ca="1"/>
        <v>25</v>
      </c>
      <c r="D44" s="20">
        <f ca="1"/>
        <v>85.1</v>
      </c>
      <c r="E44" s="20">
        <f ca="1"/>
        <v>6.4</v>
      </c>
    </row>
    <row r="45" spans="1:5" x14ac:dyDescent="0.35">
      <c r="A45" s="20">
        <f ca="1"/>
        <v>58</v>
      </c>
      <c r="B45" s="22" t="str">
        <f ca="1"/>
        <v>Malik et al., 2026</v>
      </c>
      <c r="C45" s="20">
        <f ca="1"/>
        <v>25</v>
      </c>
      <c r="D45" s="20">
        <f ca="1"/>
        <v>89.4</v>
      </c>
      <c r="E45" s="20">
        <f ca="1"/>
        <v>5.8</v>
      </c>
    </row>
    <row r="46" spans="1:5" x14ac:dyDescent="0.35">
      <c r="A46" s="20">
        <f ca="1"/>
        <v>68</v>
      </c>
      <c r="B46" s="22" t="str">
        <f ca="1"/>
        <v>Moraiti et al., 2010</v>
      </c>
      <c r="C46" s="20">
        <f ca="1"/>
        <v>6</v>
      </c>
      <c r="D46" s="20">
        <f ca="1"/>
        <v>96</v>
      </c>
      <c r="E46" s="20">
        <f ca="1"/>
        <v>3</v>
      </c>
    </row>
    <row r="47" spans="1:5" x14ac:dyDescent="0.35">
      <c r="A47" s="20">
        <f ca="1"/>
        <v>68</v>
      </c>
      <c r="B47" s="22" t="str">
        <f ca="1"/>
        <v>Moraiti et al., 2010</v>
      </c>
      <c r="C47" s="20">
        <f ca="1"/>
        <v>6</v>
      </c>
      <c r="D47" s="20">
        <f ca="1"/>
        <v>95</v>
      </c>
      <c r="E47" s="20">
        <f ca="1"/>
        <v>5</v>
      </c>
    </row>
    <row r="48" spans="1:5" x14ac:dyDescent="0.35">
      <c r="A48" s="20">
        <f ca="1"/>
        <v>70</v>
      </c>
      <c r="B48" s="22" t="str">
        <f ca="1"/>
        <v>Noh et al., 2011</v>
      </c>
      <c r="C48" s="20">
        <f ca="1"/>
        <v>33</v>
      </c>
      <c r="D48" s="20">
        <f ca="1"/>
        <v>98</v>
      </c>
      <c r="E48" s="20">
        <f ca="1"/>
        <v>3.6070000000000002</v>
      </c>
    </row>
    <row r="49" spans="1:5" x14ac:dyDescent="0.35">
      <c r="A49" s="20">
        <f ca="1"/>
        <v>70</v>
      </c>
      <c r="B49" s="22" t="str">
        <f ca="1"/>
        <v>Noh et al., 2011</v>
      </c>
      <c r="C49" s="20">
        <f ca="1"/>
        <v>32</v>
      </c>
      <c r="D49" s="20">
        <f ca="1"/>
        <v>99</v>
      </c>
      <c r="E49" s="20">
        <f ca="1"/>
        <v>3.629</v>
      </c>
    </row>
    <row r="50" spans="1:5" x14ac:dyDescent="0.35">
      <c r="A50" s="20">
        <f ca="1"/>
        <v>73</v>
      </c>
      <c r="B50" s="22" t="str">
        <f ca="1"/>
        <v>Papalia et al., 2015</v>
      </c>
      <c r="C50" s="20">
        <f ca="1"/>
        <v>20</v>
      </c>
      <c r="D50" s="20">
        <f ca="1"/>
        <v>87.4</v>
      </c>
      <c r="E50" s="20">
        <f ca="1"/>
        <v>13.8</v>
      </c>
    </row>
    <row r="51" spans="1:5" x14ac:dyDescent="0.35">
      <c r="A51" s="20">
        <f ca="1"/>
        <v>73</v>
      </c>
      <c r="B51" s="22" t="str">
        <f ca="1"/>
        <v>Papalia et al., 2015</v>
      </c>
      <c r="C51" s="20">
        <f ca="1"/>
        <v>20</v>
      </c>
      <c r="D51" s="20">
        <f ca="1"/>
        <v>93.17</v>
      </c>
      <c r="E51" s="20">
        <f ca="1"/>
        <v>10.3</v>
      </c>
    </row>
    <row r="52" spans="1:5" x14ac:dyDescent="0.35">
      <c r="A52" s="20">
        <f ca="1"/>
        <v>76</v>
      </c>
      <c r="B52" s="22" t="str">
        <f ca="1"/>
        <v>Pinczewski et al., 2007</v>
      </c>
      <c r="C52" s="20">
        <f ca="1"/>
        <v>0</v>
      </c>
      <c r="D52" s="20">
        <f ca="1"/>
        <v>0</v>
      </c>
      <c r="E52" s="20">
        <f ca="1"/>
        <v>0</v>
      </c>
    </row>
    <row r="53" spans="1:5" x14ac:dyDescent="0.35">
      <c r="A53" s="20">
        <f ca="1"/>
        <v>76</v>
      </c>
      <c r="B53" s="22" t="str">
        <f ca="1"/>
        <v>Pinczewski et al., 2007</v>
      </c>
      <c r="C53" s="20">
        <f ca="1"/>
        <v>0</v>
      </c>
      <c r="D53" s="20">
        <f ca="1"/>
        <v>0</v>
      </c>
      <c r="E53" s="20">
        <f ca="1"/>
        <v>0</v>
      </c>
    </row>
    <row r="54" spans="1:5" x14ac:dyDescent="0.35">
      <c r="A54" s="20">
        <f ca="1"/>
        <v>77</v>
      </c>
      <c r="B54" s="22" t="str">
        <f ca="1"/>
        <v>Popovic et al., 2024</v>
      </c>
      <c r="C54" s="20">
        <f ca="1"/>
        <v>38</v>
      </c>
      <c r="D54" s="20">
        <f ca="1"/>
        <v>82</v>
      </c>
      <c r="E54" s="20">
        <f ca="1"/>
        <v>15.449</v>
      </c>
    </row>
    <row r="55" spans="1:5" x14ac:dyDescent="0.35">
      <c r="A55" s="20">
        <f ca="1"/>
        <v>77</v>
      </c>
      <c r="B55" s="22" t="str">
        <f ca="1"/>
        <v>Popovic et al., 2024</v>
      </c>
      <c r="C55" s="20">
        <f ca="1"/>
        <v>33</v>
      </c>
      <c r="D55" s="20">
        <f ca="1"/>
        <v>85</v>
      </c>
      <c r="E55" s="20">
        <f ca="1"/>
        <v>14.669</v>
      </c>
    </row>
    <row r="56" spans="1:5" x14ac:dyDescent="0.35">
      <c r="A56" s="20">
        <f ca="1"/>
        <v>87</v>
      </c>
      <c r="B56" s="22" t="str">
        <f ca="1"/>
        <v>Sonnery-cottet et al., 2026</v>
      </c>
      <c r="C56" s="20">
        <f ca="1"/>
        <v>296</v>
      </c>
      <c r="D56" s="20">
        <f ca="1"/>
        <v>89</v>
      </c>
      <c r="E56" s="20">
        <f ca="1"/>
        <v>12.4</v>
      </c>
    </row>
    <row r="57" spans="1:5" x14ac:dyDescent="0.35">
      <c r="A57" s="20">
        <f ca="1"/>
        <v>87</v>
      </c>
      <c r="B57" s="22" t="str">
        <f ca="1"/>
        <v>Sonnery-cottet et al., 2026</v>
      </c>
      <c r="C57" s="20">
        <f ca="1"/>
        <v>297</v>
      </c>
      <c r="D57" s="20">
        <f ca="1"/>
        <v>91.1</v>
      </c>
      <c r="E57" s="20">
        <f ca="1"/>
        <v>11.9</v>
      </c>
    </row>
    <row r="58" spans="1:5" x14ac:dyDescent="0.35">
      <c r="A58" s="20">
        <f ca="1"/>
        <v>89</v>
      </c>
      <c r="B58" s="22" t="str">
        <f ca="1"/>
        <v>Tang et al., 2023</v>
      </c>
      <c r="C58" s="20">
        <f ca="1"/>
        <v>16</v>
      </c>
      <c r="D58" s="20">
        <f ca="1"/>
        <v>90.06</v>
      </c>
      <c r="E58" s="20">
        <f ca="1"/>
        <v>7.33</v>
      </c>
    </row>
    <row r="59" spans="1:5" x14ac:dyDescent="0.35">
      <c r="A59" s="20">
        <f ca="1"/>
        <v>89</v>
      </c>
      <c r="B59" s="22" t="str">
        <f ca="1"/>
        <v>Tang et al., 2023</v>
      </c>
      <c r="C59" s="20">
        <f ca="1"/>
        <v>17</v>
      </c>
      <c r="D59" s="20">
        <f ca="1"/>
        <v>90</v>
      </c>
      <c r="E59" s="20">
        <f ca="1"/>
        <v>4.26</v>
      </c>
    </row>
    <row r="60" spans="1:5" x14ac:dyDescent="0.35">
      <c r="A60" s="20">
        <f ca="1"/>
        <v>90</v>
      </c>
      <c r="B60" s="22" t="str">
        <f ca="1"/>
        <v>Taylor et al., 2009</v>
      </c>
      <c r="C60" s="20">
        <f ca="1"/>
        <v>21</v>
      </c>
      <c r="D60" s="20">
        <f ca="1"/>
        <v>90.3</v>
      </c>
      <c r="E60" s="20">
        <f ca="1"/>
        <v>12.19</v>
      </c>
    </row>
    <row r="61" spans="1:5" x14ac:dyDescent="0.35">
      <c r="A61" s="20">
        <f ca="1"/>
        <v>90</v>
      </c>
      <c r="B61" s="22" t="str">
        <f ca="1"/>
        <v>Taylor et al., 2009</v>
      </c>
      <c r="C61" s="20">
        <f ca="1"/>
        <v>23</v>
      </c>
      <c r="D61" s="20">
        <f ca="1"/>
        <v>90.4</v>
      </c>
      <c r="E61" s="20">
        <f ca="1"/>
        <v>12.75</v>
      </c>
    </row>
    <row r="62" spans="1:5" x14ac:dyDescent="0.35">
      <c r="A62" s="20">
        <f ca="1"/>
        <v>93</v>
      </c>
      <c r="B62" s="22" t="str">
        <f ca="1"/>
        <v>Vilchez-cavazos et al., 2020</v>
      </c>
      <c r="C62" s="20">
        <f ca="1"/>
        <v>14</v>
      </c>
      <c r="D62" s="20">
        <f ca="1"/>
        <v>96</v>
      </c>
      <c r="E62" s="20">
        <f ca="1"/>
        <v>2.9279999999999999</v>
      </c>
    </row>
    <row r="63" spans="1:5" x14ac:dyDescent="0.35">
      <c r="A63" s="20">
        <f ca="1"/>
        <v>93</v>
      </c>
      <c r="B63" s="22" t="str">
        <f ca="1"/>
        <v>Vilchez-cavazos et al., 2020</v>
      </c>
      <c r="C63" s="20">
        <f ca="1"/>
        <v>14</v>
      </c>
      <c r="D63" s="20">
        <f ca="1"/>
        <v>95.33</v>
      </c>
      <c r="E63" s="20">
        <f ca="1"/>
        <v>2.6349999999999998</v>
      </c>
    </row>
    <row r="64" spans="1:5" x14ac:dyDescent="0.35">
      <c r="A64" s="20">
        <f ca="1"/>
        <v>96</v>
      </c>
      <c r="B64" s="22" t="str">
        <f ca="1"/>
        <v>Wipfler et al., 2011</v>
      </c>
      <c r="C64" s="20">
        <f ca="1"/>
        <v>29</v>
      </c>
      <c r="D64" s="20">
        <f ca="1"/>
        <v>87.28</v>
      </c>
      <c r="E64" s="20">
        <f ca="1"/>
        <v>1.7609999999999999</v>
      </c>
    </row>
    <row r="65" spans="1:5" x14ac:dyDescent="0.35">
      <c r="A65" s="20">
        <f ca="1"/>
        <v>96</v>
      </c>
      <c r="B65" s="22" t="str">
        <f ca="1"/>
        <v>Wipfler et al., 2011</v>
      </c>
      <c r="C65" s="20">
        <f ca="1"/>
        <v>25</v>
      </c>
      <c r="D65" s="20">
        <f ca="1"/>
        <v>91.82</v>
      </c>
      <c r="E65" s="20">
        <f ca="1"/>
        <v>1.7130000000000001</v>
      </c>
    </row>
    <row r="66" spans="1:5" x14ac:dyDescent="0.35">
      <c r="A66" s="20">
        <f ca="1"/>
        <v>97</v>
      </c>
      <c r="B66" s="22" t="str">
        <f ca="1"/>
        <v>Yadav et al., 2025</v>
      </c>
      <c r="C66" s="20">
        <f ca="1"/>
        <v>36</v>
      </c>
      <c r="D66" s="20">
        <f ca="1"/>
        <v>92.4</v>
      </c>
      <c r="E66" s="20">
        <f ca="1"/>
        <v>0</v>
      </c>
    </row>
    <row r="67" spans="1:5" x14ac:dyDescent="0.35">
      <c r="A67" s="20">
        <f ca="1"/>
        <v>97</v>
      </c>
      <c r="B67" s="22" t="str">
        <f ca="1"/>
        <v>Yadav et al., 2025</v>
      </c>
      <c r="C67" s="20">
        <f ca="1"/>
        <v>33</v>
      </c>
      <c r="D67" s="20">
        <f ca="1"/>
        <v>88.2</v>
      </c>
      <c r="E67" s="20">
        <f ca="1"/>
        <v>0</v>
      </c>
    </row>
    <row r="68" spans="1:5" x14ac:dyDescent="0.35">
      <c r="A68" s="20">
        <f ca="1"/>
        <v>98</v>
      </c>
      <c r="B68" s="22" t="str">
        <f ca="1"/>
        <v>Yoo et al., 2017</v>
      </c>
      <c r="C68" s="20">
        <f ca="1"/>
        <v>68</v>
      </c>
      <c r="D68" s="20">
        <f ca="1"/>
        <v>96</v>
      </c>
      <c r="E68" s="20">
        <f ca="1"/>
        <v>6.9939999999999998</v>
      </c>
    </row>
    <row r="69" spans="1:5" x14ac:dyDescent="0.35">
      <c r="A69" s="20">
        <f ca="1"/>
        <v>98</v>
      </c>
      <c r="B69" s="22" t="str">
        <f ca="1"/>
        <v>Yoo et al., 2017</v>
      </c>
      <c r="C69" s="20">
        <f ca="1"/>
        <v>64</v>
      </c>
      <c r="D69" s="20">
        <f ca="1"/>
        <v>93</v>
      </c>
      <c r="E69" s="20">
        <f ca="1"/>
        <v>5.7770000000000001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E723-20BC-40A1-9107-C096038ED5B7}">
  <dimension ref="A1:E47"/>
  <sheetViews>
    <sheetView workbookViewId="0">
      <selection activeCell="A2" sqref="A2:B2"/>
    </sheetView>
  </sheetViews>
  <sheetFormatPr defaultRowHeight="14.5" x14ac:dyDescent="0.35"/>
  <cols>
    <col min="1" max="1" width="3.81640625" style="20" bestFit="1" customWidth="1"/>
    <col min="2" max="2" width="23.36328125" style="1" bestFit="1" customWidth="1"/>
    <col min="3" max="3" width="10.36328125" style="20" bestFit="1" customWidth="1"/>
    <col min="4" max="4" width="9.08984375" style="20" bestFit="1" customWidth="1"/>
    <col min="5" max="5" width="15.90625" style="20" bestFit="1" customWidth="1"/>
  </cols>
  <sheetData>
    <row r="1" spans="1:5" x14ac:dyDescent="0.35">
      <c r="A1" s="20" t="s">
        <v>73</v>
      </c>
      <c r="B1" s="1" t="s">
        <v>74</v>
      </c>
      <c r="C1" s="20" t="s">
        <v>78</v>
      </c>
      <c r="D1" s="20" t="s">
        <v>79</v>
      </c>
      <c r="E1" s="20" t="s">
        <v>90</v>
      </c>
    </row>
    <row r="2" spans="1:5" x14ac:dyDescent="0.35">
      <c r="A2" s="20" cm="1">
        <f t="array" aca="1" ref="A2:A47" ca="1">IF(A$1&lt;&gt;"",_xlfn._xlws.FILTER(INDIRECT(SUBSTITUTE(A$1, " ","_")),Outcome="tegner",""),"")</f>
        <v>1</v>
      </c>
      <c r="B2" s="1" t="str" cm="1">
        <f t="array" aca="1" ref="B2:B47" ca="1">IF(B$1&lt;&gt;"",_xlfn._xlws.FILTER(INDIRECT(SUBSTITUTE(B$1, " ","_")),Outcome="tegner",""),"")</f>
        <v>Ageberg et al., 2009</v>
      </c>
      <c r="C2" s="20" cm="1">
        <f t="array" aca="1" ref="C2:C47" ca="1">IF(C$1&lt;&gt;"",_xlfn._xlws.FILTER(INDIRECT(SUBSTITUTE(C$1, " ","_")),Outcome="tegner",""),"")</f>
        <v>16</v>
      </c>
      <c r="D2" s="20" cm="1">
        <f t="array" aca="1" ref="D2:D47" ca="1">IF(D$1&lt;&gt;"",_xlfn._xlws.FILTER(INDIRECT(SUBSTITUTE(D$1, " ","_")),Outcome="tegner",""),"")</f>
        <v>4.17</v>
      </c>
      <c r="E2" s="20" cm="1">
        <f t="array" aca="1" ref="E2:E47" ca="1">IF(E$1&lt;&gt;"",_xlfn._xlws.FILTER(INDIRECT(SUBSTITUTE(E$1, " ","_")),Outcome="tegner",""),"")</f>
        <v>1.413</v>
      </c>
    </row>
    <row r="3" spans="1:5" x14ac:dyDescent="0.35">
      <c r="A3" s="20">
        <f ca="1"/>
        <v>1</v>
      </c>
      <c r="B3" s="1" t="str">
        <f ca="1"/>
        <v>Ageberg et al., 2009</v>
      </c>
      <c r="C3" s="20">
        <f ca="1"/>
        <v>20</v>
      </c>
      <c r="D3" s="20">
        <f ca="1"/>
        <v>3.15</v>
      </c>
      <c r="E3" s="20">
        <f ca="1"/>
        <v>1.3380000000000001</v>
      </c>
    </row>
    <row r="4" spans="1:5" x14ac:dyDescent="0.35">
      <c r="A4" s="20">
        <f ca="1"/>
        <v>3</v>
      </c>
      <c r="B4" s="1" t="str">
        <f ca="1"/>
        <v>Ahldén et al., 2009</v>
      </c>
      <c r="C4" s="20">
        <f ca="1"/>
        <v>25</v>
      </c>
      <c r="D4" s="20">
        <f ca="1"/>
        <v>4.87</v>
      </c>
      <c r="E4" s="20">
        <f ca="1"/>
        <v>2.2909999999999999</v>
      </c>
    </row>
    <row r="5" spans="1:5" x14ac:dyDescent="0.35">
      <c r="A5" s="20">
        <f ca="1"/>
        <v>3</v>
      </c>
      <c r="B5" s="1" t="str">
        <f ca="1"/>
        <v>Ahldén et al., 2009</v>
      </c>
      <c r="C5" s="20">
        <f ca="1"/>
        <v>22</v>
      </c>
      <c r="D5" s="20">
        <f ca="1"/>
        <v>4.8600000000000003</v>
      </c>
      <c r="E5" s="20">
        <f ca="1"/>
        <v>1.3089999999999999</v>
      </c>
    </row>
    <row r="6" spans="1:5" x14ac:dyDescent="0.35">
      <c r="A6" s="20">
        <f ca="1"/>
        <v>9</v>
      </c>
      <c r="B6" s="1" t="str">
        <f ca="1"/>
        <v>Barenius et al., 2010</v>
      </c>
      <c r="C6" s="20">
        <f ca="1"/>
        <v>78</v>
      </c>
      <c r="D6" s="20">
        <f ca="1"/>
        <v>5.8</v>
      </c>
      <c r="E6" s="20">
        <f ca="1"/>
        <v>1.8680000000000001</v>
      </c>
    </row>
    <row r="7" spans="1:5" x14ac:dyDescent="0.35">
      <c r="A7" s="20">
        <f ca="1"/>
        <v>9</v>
      </c>
      <c r="B7" s="1" t="str">
        <f ca="1"/>
        <v>Barenius et al., 2010</v>
      </c>
      <c r="C7" s="20">
        <f ca="1"/>
        <v>75</v>
      </c>
      <c r="D7" s="20">
        <f ca="1"/>
        <v>4.07</v>
      </c>
      <c r="E7" s="20">
        <f ca="1"/>
        <v>1.879</v>
      </c>
    </row>
    <row r="8" spans="1:5" x14ac:dyDescent="0.35">
      <c r="A8" s="20">
        <f ca="1"/>
        <v>10</v>
      </c>
      <c r="B8" s="1" t="str">
        <f ca="1"/>
        <v>Barié et al., 2020</v>
      </c>
      <c r="C8" s="20">
        <f ca="1"/>
        <v>43</v>
      </c>
      <c r="D8" s="20">
        <f ca="1"/>
        <v>6.1</v>
      </c>
      <c r="E8" s="20">
        <f ca="1"/>
        <v>1.1439999999999999</v>
      </c>
    </row>
    <row r="9" spans="1:5" x14ac:dyDescent="0.35">
      <c r="A9" s="20">
        <f ca="1"/>
        <v>10</v>
      </c>
      <c r="B9" s="1" t="str">
        <f ca="1"/>
        <v>Barié et al., 2020</v>
      </c>
      <c r="C9" s="20">
        <f ca="1"/>
        <v>43</v>
      </c>
      <c r="D9" s="20">
        <f ca="1"/>
        <v>6.1</v>
      </c>
      <c r="E9" s="20">
        <f ca="1"/>
        <v>1.1439999999999999</v>
      </c>
    </row>
    <row r="10" spans="1:5" x14ac:dyDescent="0.35">
      <c r="A10" s="20">
        <f ca="1"/>
        <v>13</v>
      </c>
      <c r="B10" s="1" t="str">
        <f ca="1"/>
        <v>Björnsson et al., 2016</v>
      </c>
      <c r="C10" s="20">
        <f ca="1"/>
        <v>61</v>
      </c>
      <c r="D10" s="20">
        <f ca="1"/>
        <v>4.0999999999999996</v>
      </c>
      <c r="E10" s="20">
        <f ca="1"/>
        <v>1.7</v>
      </c>
    </row>
    <row r="11" spans="1:5" x14ac:dyDescent="0.35">
      <c r="A11" s="20">
        <f ca="1"/>
        <v>13</v>
      </c>
      <c r="B11" s="1" t="str">
        <f ca="1"/>
        <v>Björnsson et al., 2016</v>
      </c>
      <c r="C11" s="20">
        <f ca="1"/>
        <v>86</v>
      </c>
      <c r="D11" s="20">
        <f ca="1"/>
        <v>4</v>
      </c>
      <c r="E11" s="20">
        <f ca="1"/>
        <v>1.7</v>
      </c>
    </row>
    <row r="12" spans="1:5" x14ac:dyDescent="0.35">
      <c r="A12" s="20">
        <f ca="1"/>
        <v>14</v>
      </c>
      <c r="B12" s="1" t="str">
        <f ca="1"/>
        <v>Bottoni et al., 2015</v>
      </c>
      <c r="C12" s="20">
        <f ca="1"/>
        <v>44</v>
      </c>
      <c r="D12" s="20">
        <f ca="1"/>
        <v>5.0999999999999996</v>
      </c>
      <c r="E12" s="20">
        <f ca="1"/>
        <v>2.2000000000000002</v>
      </c>
    </row>
    <row r="13" spans="1:5" x14ac:dyDescent="0.35">
      <c r="A13" s="20">
        <f ca="1"/>
        <v>14</v>
      </c>
      <c r="B13" s="1" t="str">
        <f ca="1"/>
        <v>Bottoni et al., 2015</v>
      </c>
      <c r="C13" s="20">
        <f ca="1"/>
        <v>36</v>
      </c>
      <c r="D13" s="20">
        <f ca="1"/>
        <v>5.0999999999999996</v>
      </c>
      <c r="E13" s="20">
        <f ca="1"/>
        <v>2</v>
      </c>
    </row>
    <row r="14" spans="1:5" x14ac:dyDescent="0.35">
      <c r="A14" s="20">
        <f ca="1"/>
        <v>23</v>
      </c>
      <c r="B14" s="1" t="str">
        <f ca="1"/>
        <v>Ejerhed et al., 2003</v>
      </c>
      <c r="C14" s="20">
        <f ca="1"/>
        <v>32</v>
      </c>
      <c r="D14" s="20">
        <f ca="1"/>
        <v>5.77</v>
      </c>
      <c r="E14" s="20">
        <f ca="1"/>
        <v>1.9350000000000001</v>
      </c>
    </row>
    <row r="15" spans="1:5" x14ac:dyDescent="0.35">
      <c r="A15" s="20">
        <f ca="1"/>
        <v>23</v>
      </c>
      <c r="B15" s="1" t="str">
        <f ca="1"/>
        <v>Ejerhed et al., 2003</v>
      </c>
      <c r="C15" s="20">
        <f ca="1"/>
        <v>34</v>
      </c>
      <c r="D15" s="20">
        <f ca="1"/>
        <v>6.39</v>
      </c>
      <c r="E15" s="20">
        <f ca="1"/>
        <v>1.4339999999999999</v>
      </c>
    </row>
    <row r="16" spans="1:5" x14ac:dyDescent="0.35">
      <c r="A16" s="20">
        <f ca="1"/>
        <v>33</v>
      </c>
      <c r="B16" s="1" t="str">
        <f ca="1"/>
        <v>Harilainen et al., 2006</v>
      </c>
      <c r="C16" s="20">
        <f ca="1"/>
        <v>37</v>
      </c>
      <c r="D16" s="20">
        <f ca="1"/>
        <v>5.89</v>
      </c>
      <c r="E16" s="20">
        <f ca="1"/>
        <v>2.117</v>
      </c>
    </row>
    <row r="17" spans="1:5" x14ac:dyDescent="0.35">
      <c r="A17" s="20">
        <f ca="1"/>
        <v>33</v>
      </c>
      <c r="B17" s="1" t="str">
        <f ca="1"/>
        <v>Harilainen et al., 2006</v>
      </c>
      <c r="C17" s="20">
        <f ca="1"/>
        <v>37</v>
      </c>
      <c r="D17" s="20">
        <f ca="1"/>
        <v>6</v>
      </c>
      <c r="E17" s="20">
        <f ca="1"/>
        <v>1.4119999999999999</v>
      </c>
    </row>
    <row r="18" spans="1:5" x14ac:dyDescent="0.35">
      <c r="A18" s="20">
        <f ca="1"/>
        <v>34</v>
      </c>
      <c r="B18" s="1" t="str">
        <f ca="1"/>
        <v>Heijne &amp; Werner, 2010</v>
      </c>
      <c r="C18" s="20">
        <f ca="1"/>
        <v>30</v>
      </c>
      <c r="D18" s="20">
        <f ca="1"/>
        <v>6.64</v>
      </c>
      <c r="E18" s="20">
        <f ca="1"/>
        <v>2.206</v>
      </c>
    </row>
    <row r="19" spans="1:5" x14ac:dyDescent="0.35">
      <c r="A19" s="20">
        <f ca="1"/>
        <v>34</v>
      </c>
      <c r="B19" s="1" t="str">
        <f ca="1"/>
        <v>Heijne &amp; Werner, 2010</v>
      </c>
      <c r="C19" s="20">
        <f ca="1"/>
        <v>29</v>
      </c>
      <c r="D19" s="20">
        <f ca="1"/>
        <v>5</v>
      </c>
      <c r="E19" s="20">
        <f ca="1"/>
        <v>1.4810000000000001</v>
      </c>
    </row>
    <row r="20" spans="1:5" x14ac:dyDescent="0.35">
      <c r="A20" s="20">
        <f ca="1"/>
        <v>41</v>
      </c>
      <c r="B20" s="1" t="str">
        <f ca="1"/>
        <v>Jansson et al., 2003</v>
      </c>
      <c r="C20" s="20">
        <f ca="1"/>
        <v>43</v>
      </c>
      <c r="D20" s="20">
        <f ca="1"/>
        <v>5.98</v>
      </c>
      <c r="E20" s="20">
        <f ca="1"/>
        <v>1.6020000000000001</v>
      </c>
    </row>
    <row r="21" spans="1:5" x14ac:dyDescent="0.35">
      <c r="A21" s="20">
        <f ca="1"/>
        <v>41</v>
      </c>
      <c r="B21" s="1" t="str">
        <f ca="1"/>
        <v>Jansson et al., 2003</v>
      </c>
      <c r="C21" s="20">
        <f ca="1"/>
        <v>46</v>
      </c>
      <c r="D21" s="20">
        <f ca="1"/>
        <v>5.82</v>
      </c>
      <c r="E21" s="20">
        <f ca="1"/>
        <v>2.2610000000000001</v>
      </c>
    </row>
    <row r="22" spans="1:5" x14ac:dyDescent="0.35">
      <c r="A22" s="20">
        <f ca="1"/>
        <v>45</v>
      </c>
      <c r="B22" s="1" t="str">
        <f ca="1"/>
        <v>Konrads et al., 2016</v>
      </c>
      <c r="C22" s="20">
        <f ca="1"/>
        <v>24</v>
      </c>
      <c r="D22" s="20">
        <f ca="1"/>
        <v>5.9</v>
      </c>
      <c r="E22" s="20">
        <f ca="1"/>
        <v>1.284</v>
      </c>
    </row>
    <row r="23" spans="1:5" x14ac:dyDescent="0.35">
      <c r="A23" s="20">
        <f ca="1"/>
        <v>45</v>
      </c>
      <c r="B23" s="1" t="str">
        <f ca="1"/>
        <v>Konrads et al., 2016</v>
      </c>
      <c r="C23" s="20">
        <f ca="1"/>
        <v>23</v>
      </c>
      <c r="D23" s="20">
        <f ca="1"/>
        <v>5.0999999999999996</v>
      </c>
      <c r="E23" s="20">
        <f ca="1"/>
        <v>1.0369999999999999</v>
      </c>
    </row>
    <row r="24" spans="1:5" x14ac:dyDescent="0.35">
      <c r="A24" s="20">
        <f ca="1"/>
        <v>49</v>
      </c>
      <c r="B24" s="1" t="str">
        <f ca="1"/>
        <v>Laxdal et al., 2005</v>
      </c>
      <c r="C24" s="20">
        <f ca="1"/>
        <v>40</v>
      </c>
      <c r="D24" s="20">
        <f ca="1"/>
        <v>6</v>
      </c>
      <c r="E24" s="20">
        <f ca="1"/>
        <v>1.855</v>
      </c>
    </row>
    <row r="25" spans="1:5" x14ac:dyDescent="0.35">
      <c r="A25" s="20">
        <f ca="1"/>
        <v>49</v>
      </c>
      <c r="B25" s="1" t="str">
        <f ca="1"/>
        <v>Laxdal et al., 2005</v>
      </c>
      <c r="C25" s="20">
        <f ca="1"/>
        <v>78</v>
      </c>
      <c r="D25" s="20">
        <f ca="1"/>
        <v>4</v>
      </c>
      <c r="E25" s="20">
        <f ca="1"/>
        <v>1.6419999999999999</v>
      </c>
    </row>
    <row r="26" spans="1:5" x14ac:dyDescent="0.35">
      <c r="A26" s="20">
        <f ca="1"/>
        <v>51</v>
      </c>
      <c r="B26" s="1" t="str">
        <f ca="1"/>
        <v>Li et al., 2015</v>
      </c>
      <c r="C26" s="20">
        <f ca="1"/>
        <v>32</v>
      </c>
      <c r="D26" s="20">
        <f ca="1"/>
        <v>7.3</v>
      </c>
      <c r="E26" s="20">
        <f ca="1"/>
        <v>1.3</v>
      </c>
    </row>
    <row r="27" spans="1:5" x14ac:dyDescent="0.35">
      <c r="A27" s="20">
        <f ca="1"/>
        <v>51</v>
      </c>
      <c r="B27" s="1" t="str">
        <f ca="1"/>
        <v>Li et al., 2015</v>
      </c>
      <c r="C27" s="20">
        <f ca="1"/>
        <v>32</v>
      </c>
      <c r="D27" s="20">
        <f ca="1"/>
        <v>7</v>
      </c>
      <c r="E27" s="20">
        <f ca="1"/>
        <v>2.1</v>
      </c>
    </row>
    <row r="28" spans="1:5" x14ac:dyDescent="0.35">
      <c r="A28" s="20">
        <f ca="1"/>
        <v>52</v>
      </c>
      <c r="B28" s="1" t="str">
        <f ca="1"/>
        <v>Lidén et al., 2007</v>
      </c>
      <c r="C28" s="20">
        <f ca="1"/>
        <v>30</v>
      </c>
      <c r="D28" s="20">
        <f ca="1"/>
        <v>5</v>
      </c>
      <c r="E28" s="20">
        <f ca="1"/>
        <v>1.7150000000000001</v>
      </c>
    </row>
    <row r="29" spans="1:5" x14ac:dyDescent="0.35">
      <c r="A29" s="20">
        <f ca="1"/>
        <v>52</v>
      </c>
      <c r="B29" s="1" t="str">
        <f ca="1"/>
        <v>Lidén et al., 2007</v>
      </c>
      <c r="C29" s="20">
        <f ca="1"/>
        <v>32</v>
      </c>
      <c r="D29" s="20">
        <f ca="1"/>
        <v>6</v>
      </c>
      <c r="E29" s="20">
        <f ca="1"/>
        <v>1.6930000000000001</v>
      </c>
    </row>
    <row r="30" spans="1:5" x14ac:dyDescent="0.35">
      <c r="A30" s="20">
        <f ca="1"/>
        <v>53</v>
      </c>
      <c r="B30" s="1" t="str">
        <f ca="1"/>
        <v>Lind et al., 2020</v>
      </c>
      <c r="C30" s="20">
        <f ca="1"/>
        <v>49</v>
      </c>
      <c r="D30" s="20">
        <f ca="1"/>
        <v>5.9</v>
      </c>
      <c r="E30" s="20">
        <f ca="1"/>
        <v>1.3</v>
      </c>
    </row>
    <row r="31" spans="1:5" x14ac:dyDescent="0.35">
      <c r="A31" s="20">
        <f ca="1"/>
        <v>53</v>
      </c>
      <c r="B31" s="1" t="str">
        <f ca="1"/>
        <v>Lind et al., 2020</v>
      </c>
      <c r="C31" s="20">
        <f ca="1"/>
        <v>47</v>
      </c>
      <c r="D31" s="20">
        <f ca="1"/>
        <v>6</v>
      </c>
      <c r="E31" s="20">
        <f ca="1"/>
        <v>1.5</v>
      </c>
    </row>
    <row r="32" spans="1:5" x14ac:dyDescent="0.35">
      <c r="A32" s="20">
        <f ca="1"/>
        <v>54</v>
      </c>
      <c r="B32" s="1" t="str">
        <f ca="1"/>
        <v>Lucidi et al., 2025</v>
      </c>
      <c r="C32" s="20">
        <f ca="1"/>
        <v>19</v>
      </c>
      <c r="D32" s="20">
        <f ca="1"/>
        <v>3</v>
      </c>
      <c r="E32" s="20">
        <f ca="1"/>
        <v>1.0840000000000001</v>
      </c>
    </row>
    <row r="33" spans="1:5" x14ac:dyDescent="0.35">
      <c r="A33" s="20">
        <f ca="1"/>
        <v>54</v>
      </c>
      <c r="B33" s="1" t="str">
        <f ca="1"/>
        <v>Lucidi et al., 2025</v>
      </c>
      <c r="C33" s="20">
        <f ca="1"/>
        <v>20</v>
      </c>
      <c r="D33" s="20">
        <f ca="1"/>
        <v>4</v>
      </c>
      <c r="E33" s="20">
        <f ca="1"/>
        <v>0.80300000000000005</v>
      </c>
    </row>
    <row r="34" spans="1:5" x14ac:dyDescent="0.35">
      <c r="A34" s="20">
        <f ca="1"/>
        <v>58</v>
      </c>
      <c r="B34" s="1" t="str">
        <f ca="1"/>
        <v>Malik et al., 2026</v>
      </c>
      <c r="C34" s="20">
        <f ca="1"/>
        <v>25</v>
      </c>
      <c r="D34" s="20">
        <f ca="1"/>
        <v>5.0999999999999996</v>
      </c>
      <c r="E34" s="20">
        <f ca="1"/>
        <v>1</v>
      </c>
    </row>
    <row r="35" spans="1:5" x14ac:dyDescent="0.35">
      <c r="A35" s="20">
        <f ca="1"/>
        <v>58</v>
      </c>
      <c r="B35" s="1" t="str">
        <f ca="1"/>
        <v>Malik et al., 2026</v>
      </c>
      <c r="C35" s="20">
        <f ca="1"/>
        <v>25</v>
      </c>
      <c r="D35" s="20">
        <f ca="1"/>
        <v>5.6</v>
      </c>
      <c r="E35" s="20">
        <f ca="1"/>
        <v>0.9</v>
      </c>
    </row>
    <row r="36" spans="1:5" x14ac:dyDescent="0.35">
      <c r="A36" s="20">
        <f ca="1"/>
        <v>70</v>
      </c>
      <c r="B36" s="1" t="str">
        <f ca="1"/>
        <v>Noh et al., 2011</v>
      </c>
      <c r="C36" s="20">
        <f ca="1"/>
        <v>33</v>
      </c>
      <c r="D36" s="20">
        <f ca="1"/>
        <v>6</v>
      </c>
      <c r="E36" s="20">
        <f ca="1"/>
        <v>0.96199999999999997</v>
      </c>
    </row>
    <row r="37" spans="1:5" x14ac:dyDescent="0.35">
      <c r="A37" s="20">
        <f ca="1"/>
        <v>70</v>
      </c>
      <c r="B37" s="1" t="str">
        <f ca="1"/>
        <v>Noh et al., 2011</v>
      </c>
      <c r="C37" s="20">
        <f ca="1"/>
        <v>32</v>
      </c>
      <c r="D37" s="20">
        <f ca="1"/>
        <v>6</v>
      </c>
      <c r="E37" s="20">
        <f ca="1"/>
        <v>1.21</v>
      </c>
    </row>
    <row r="38" spans="1:5" x14ac:dyDescent="0.35">
      <c r="A38" s="20">
        <f ca="1"/>
        <v>77</v>
      </c>
      <c r="B38" s="1" t="str">
        <f ca="1"/>
        <v>Popovic et al., 2024</v>
      </c>
      <c r="C38" s="20">
        <f ca="1"/>
        <v>38</v>
      </c>
      <c r="D38" s="20">
        <f ca="1"/>
        <v>4</v>
      </c>
      <c r="E38" s="20">
        <f ca="1"/>
        <v>1.639</v>
      </c>
    </row>
    <row r="39" spans="1:5" x14ac:dyDescent="0.35">
      <c r="A39" s="20">
        <f ca="1"/>
        <v>77</v>
      </c>
      <c r="B39" s="1" t="str">
        <f ca="1"/>
        <v>Popovic et al., 2024</v>
      </c>
      <c r="C39" s="20">
        <f ca="1"/>
        <v>33</v>
      </c>
      <c r="D39" s="20">
        <f ca="1"/>
        <v>5</v>
      </c>
      <c r="E39" s="20">
        <f ca="1"/>
        <v>2.1640000000000001</v>
      </c>
    </row>
    <row r="40" spans="1:5" x14ac:dyDescent="0.35">
      <c r="A40" s="20">
        <f ca="1"/>
        <v>87</v>
      </c>
      <c r="B40" s="1" t="str">
        <f ca="1"/>
        <v>Sonnery-cottet et al., 2026</v>
      </c>
      <c r="C40" s="20">
        <f ca="1"/>
        <v>296</v>
      </c>
      <c r="D40" s="20">
        <f ca="1"/>
        <v>6.6</v>
      </c>
      <c r="E40" s="20">
        <f ca="1"/>
        <v>1.6</v>
      </c>
    </row>
    <row r="41" spans="1:5" x14ac:dyDescent="0.35">
      <c r="A41" s="20">
        <f ca="1"/>
        <v>87</v>
      </c>
      <c r="B41" s="1" t="str">
        <f ca="1"/>
        <v>Sonnery-cottet et al., 2026</v>
      </c>
      <c r="C41" s="20">
        <f ca="1"/>
        <v>297</v>
      </c>
      <c r="D41" s="20">
        <f ca="1"/>
        <v>6.7</v>
      </c>
      <c r="E41" s="20">
        <f ca="1"/>
        <v>1.7</v>
      </c>
    </row>
    <row r="42" spans="1:5" x14ac:dyDescent="0.35">
      <c r="A42" s="20">
        <f ca="1"/>
        <v>90</v>
      </c>
      <c r="B42" s="1" t="str">
        <f ca="1"/>
        <v>Taylor et al., 2009</v>
      </c>
      <c r="C42" s="20">
        <f ca="1"/>
        <v>20</v>
      </c>
      <c r="D42" s="20">
        <f ca="1"/>
        <v>6.8</v>
      </c>
      <c r="E42" s="20">
        <f ca="1"/>
        <v>3.27</v>
      </c>
    </row>
    <row r="43" spans="1:5" x14ac:dyDescent="0.35">
      <c r="A43" s="20">
        <f ca="1"/>
        <v>90</v>
      </c>
      <c r="B43" s="1" t="str">
        <f ca="1"/>
        <v>Taylor et al., 2009</v>
      </c>
      <c r="C43" s="20">
        <f ca="1"/>
        <v>24</v>
      </c>
      <c r="D43" s="20">
        <f ca="1"/>
        <v>5.3</v>
      </c>
      <c r="E43" s="20">
        <f ca="1"/>
        <v>3.58</v>
      </c>
    </row>
    <row r="44" spans="1:5" x14ac:dyDescent="0.35">
      <c r="A44" s="20">
        <f ca="1"/>
        <v>96</v>
      </c>
      <c r="B44" s="1" t="str">
        <f ca="1"/>
        <v>Wipfler et al., 2011</v>
      </c>
      <c r="C44" s="20">
        <f ca="1"/>
        <v>29</v>
      </c>
      <c r="D44" s="20">
        <f ca="1"/>
        <v>6.2</v>
      </c>
      <c r="E44" s="20">
        <f ca="1"/>
        <v>0.34599999999999997</v>
      </c>
    </row>
    <row r="45" spans="1:5" x14ac:dyDescent="0.35">
      <c r="A45" s="20">
        <f ca="1"/>
        <v>96</v>
      </c>
      <c r="B45" s="1" t="str">
        <f ca="1"/>
        <v>Wipfler et al., 2011</v>
      </c>
      <c r="C45" s="20">
        <f ca="1"/>
        <v>25</v>
      </c>
      <c r="D45" s="20">
        <f ca="1"/>
        <v>6.14</v>
      </c>
      <c r="E45" s="20">
        <f ca="1"/>
        <v>0.36799999999999999</v>
      </c>
    </row>
    <row r="46" spans="1:5" x14ac:dyDescent="0.35">
      <c r="A46" s="20">
        <f ca="1"/>
        <v>98</v>
      </c>
      <c r="B46" s="1" t="str">
        <f ca="1"/>
        <v>Yoo et al., 2017</v>
      </c>
      <c r="C46" s="20">
        <f ca="1"/>
        <v>68</v>
      </c>
      <c r="D46" s="20">
        <f ca="1"/>
        <v>5</v>
      </c>
      <c r="E46" s="20">
        <f ca="1"/>
        <v>1.484</v>
      </c>
    </row>
    <row r="47" spans="1:5" x14ac:dyDescent="0.35">
      <c r="A47" s="20">
        <f ca="1"/>
        <v>98</v>
      </c>
      <c r="B47" s="1" t="str">
        <f ca="1"/>
        <v>Yoo et al., 2017</v>
      </c>
      <c r="C47" s="20">
        <f ca="1"/>
        <v>64</v>
      </c>
      <c r="D47" s="20">
        <f ca="1"/>
        <v>5</v>
      </c>
      <c r="E47" s="20">
        <f ca="1"/>
        <v>1.07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4A50-B998-4BDB-A42F-E2D6367715DB}">
  <dimension ref="A1:E71"/>
  <sheetViews>
    <sheetView workbookViewId="0">
      <selection activeCell="A2" sqref="A2"/>
    </sheetView>
  </sheetViews>
  <sheetFormatPr defaultRowHeight="14.5" x14ac:dyDescent="0.35"/>
  <cols>
    <col min="1" max="1" width="3.81640625" style="20" bestFit="1" customWidth="1"/>
    <col min="2" max="2" width="23.36328125" style="22" bestFit="1" customWidth="1"/>
    <col min="3" max="3" width="10.36328125" style="20" bestFit="1" customWidth="1"/>
    <col min="4" max="4" width="9.08984375" style="20" bestFit="1" customWidth="1"/>
    <col min="5" max="5" width="15.90625" style="20" bestFit="1" customWidth="1"/>
  </cols>
  <sheetData>
    <row r="1" spans="1:5" x14ac:dyDescent="0.35">
      <c r="A1" s="20" t="s">
        <v>73</v>
      </c>
      <c r="B1" s="22" t="s">
        <v>74</v>
      </c>
      <c r="C1" s="20" t="s">
        <v>78</v>
      </c>
      <c r="D1" s="20" t="s">
        <v>79</v>
      </c>
      <c r="E1" s="20" t="s">
        <v>90</v>
      </c>
    </row>
    <row r="2" spans="1:5" x14ac:dyDescent="0.35">
      <c r="A2" s="20" cm="1">
        <f t="array" aca="1" ref="A2:A71" ca="1">IF(A$1&lt;&gt;"",_xlfn._xlws.FILTER(INDIRECT(SUBSTITUTE(A$1, " ","_")),Outcome="instrumental laxity",""),"")</f>
        <v>2</v>
      </c>
      <c r="B2" s="22" t="str" cm="1">
        <f t="array" aca="1" ref="B2:B71" ca="1">IF(B$1&lt;&gt;"",_xlfn._xlws.FILTER(INDIRECT(SUBSTITUTE(B$1, " ","_")),Outcome="instrumental laxity",""),"")</f>
        <v>Aglietti et al., 2004</v>
      </c>
      <c r="C2" s="20" cm="1">
        <f t="array" aca="1" ref="C2:C71" ca="1">IF(C$1&lt;&gt;"",_xlfn._xlws.FILTER(INDIRECT(SUBSTITUTE(C$1, " ","_")),Outcome="instrumental laxity",""),"")</f>
        <v>60</v>
      </c>
      <c r="D2" s="20" cm="1">
        <f t="array" aca="1" ref="D2:D71" ca="1">IF(D$1&lt;&gt;"",_xlfn._xlws.FILTER(INDIRECT(SUBSTITUTE(D$1, " ","_")),Outcome="instrumental laxity",""),"")</f>
        <v>2.2000000000000002</v>
      </c>
      <c r="E2" s="20" cm="1">
        <f t="array" aca="1" ref="E2:E71" ca="1">IF(E$1&lt;&gt;"",_xlfn._xlws.FILTER(INDIRECT(SUBSTITUTE(E$1, " ","_")),Outcome="instrumental laxity",""),"")</f>
        <v>1.081</v>
      </c>
    </row>
    <row r="3" spans="1:5" x14ac:dyDescent="0.35">
      <c r="A3" s="20">
        <f ca="1"/>
        <v>2</v>
      </c>
      <c r="B3" s="22" t="str">
        <f ca="1"/>
        <v>Aglietti et al., 2004</v>
      </c>
      <c r="C3" s="20">
        <f ca="1"/>
        <v>60</v>
      </c>
      <c r="D3" s="20">
        <f ca="1"/>
        <v>1.95</v>
      </c>
      <c r="E3" s="20">
        <f ca="1"/>
        <v>1.2969999999999999</v>
      </c>
    </row>
    <row r="4" spans="1:5" x14ac:dyDescent="0.35">
      <c r="A4" s="20">
        <f ca="1"/>
        <v>3</v>
      </c>
      <c r="B4" s="22" t="str">
        <f ca="1"/>
        <v>Ahldén et al., 2009</v>
      </c>
      <c r="C4" s="20">
        <f ca="1"/>
        <v>25</v>
      </c>
      <c r="D4" s="20">
        <f ca="1"/>
        <v>2.6</v>
      </c>
      <c r="E4" s="20">
        <f ca="1"/>
        <v>3.3</v>
      </c>
    </row>
    <row r="5" spans="1:5" x14ac:dyDescent="0.35">
      <c r="A5" s="20">
        <f ca="1"/>
        <v>3</v>
      </c>
      <c r="B5" s="22" t="str">
        <f ca="1"/>
        <v>Ahldén et al., 2009</v>
      </c>
      <c r="C5" s="20">
        <f ca="1"/>
        <v>22</v>
      </c>
      <c r="D5" s="20">
        <f ca="1"/>
        <v>1.4</v>
      </c>
      <c r="E5" s="20">
        <f ca="1"/>
        <v>2.6</v>
      </c>
    </row>
    <row r="6" spans="1:5" x14ac:dyDescent="0.35">
      <c r="A6" s="20">
        <f ca="1"/>
        <v>5</v>
      </c>
      <c r="B6" s="22" t="str">
        <f ca="1"/>
        <v>Anderson et al., 2001</v>
      </c>
      <c r="C6" s="20">
        <f ca="1"/>
        <v>35</v>
      </c>
      <c r="D6" s="20">
        <f ca="1"/>
        <v>2.1</v>
      </c>
      <c r="E6" s="20">
        <f ca="1"/>
        <v>2</v>
      </c>
    </row>
    <row r="7" spans="1:5" x14ac:dyDescent="0.35">
      <c r="A7" s="20">
        <f ca="1"/>
        <v>5</v>
      </c>
      <c r="B7" s="22" t="str">
        <f ca="1"/>
        <v>Anderson et al., 2001</v>
      </c>
      <c r="C7" s="20">
        <f ca="1"/>
        <v>33</v>
      </c>
      <c r="D7" s="20">
        <f ca="1"/>
        <v>3.1</v>
      </c>
      <c r="E7" s="20">
        <f ca="1"/>
        <v>2.2999999999999998</v>
      </c>
    </row>
    <row r="8" spans="1:5" x14ac:dyDescent="0.35">
      <c r="A8" s="20">
        <f ca="1"/>
        <v>7</v>
      </c>
      <c r="B8" s="22" t="str">
        <f ca="1"/>
        <v>Aune et al., 2001</v>
      </c>
      <c r="C8" s="20">
        <f ca="1"/>
        <v>32</v>
      </c>
      <c r="D8" s="20">
        <f ca="1"/>
        <v>3.3</v>
      </c>
      <c r="E8" s="20">
        <f ca="1"/>
        <v>2.6</v>
      </c>
    </row>
    <row r="9" spans="1:5" x14ac:dyDescent="0.35">
      <c r="A9" s="20">
        <f ca="1"/>
        <v>7</v>
      </c>
      <c r="B9" s="22" t="str">
        <f ca="1"/>
        <v>Aune et al., 2001</v>
      </c>
      <c r="C9" s="20">
        <f ca="1"/>
        <v>29</v>
      </c>
      <c r="D9" s="20">
        <f ca="1"/>
        <v>2.9</v>
      </c>
      <c r="E9" s="20">
        <f ca="1"/>
        <v>2.4</v>
      </c>
    </row>
    <row r="10" spans="1:5" x14ac:dyDescent="0.35">
      <c r="A10" s="20">
        <f ca="1"/>
        <v>10</v>
      </c>
      <c r="B10" s="22" t="str">
        <f ca="1"/>
        <v>Barié et al., 2020</v>
      </c>
      <c r="C10" s="20">
        <f ca="1"/>
        <v>43</v>
      </c>
      <c r="D10" s="20">
        <f ca="1"/>
        <v>1.05</v>
      </c>
      <c r="E10" s="20">
        <f ca="1"/>
        <v>1.36</v>
      </c>
    </row>
    <row r="11" spans="1:5" x14ac:dyDescent="0.35">
      <c r="A11" s="20">
        <f ca="1"/>
        <v>10</v>
      </c>
      <c r="B11" s="22" t="str">
        <f ca="1"/>
        <v>Barié et al., 2020</v>
      </c>
      <c r="C11" s="20">
        <f ca="1"/>
        <v>43</v>
      </c>
      <c r="D11" s="20">
        <f ca="1"/>
        <v>1</v>
      </c>
      <c r="E11" s="20">
        <f ca="1"/>
        <v>1.095</v>
      </c>
    </row>
    <row r="12" spans="1:5" x14ac:dyDescent="0.35">
      <c r="A12" s="20">
        <f ca="1"/>
        <v>12</v>
      </c>
      <c r="B12" s="22" t="str">
        <f ca="1"/>
        <v>Bi et al., 2018</v>
      </c>
      <c r="C12" s="20">
        <f ca="1"/>
        <v>62</v>
      </c>
      <c r="D12" s="20">
        <f ca="1"/>
        <v>1.71</v>
      </c>
      <c r="E12" s="20">
        <f ca="1"/>
        <v>0.56999999999999995</v>
      </c>
    </row>
    <row r="13" spans="1:5" x14ac:dyDescent="0.35">
      <c r="A13" s="20">
        <f ca="1"/>
        <v>12</v>
      </c>
      <c r="B13" s="22" t="str">
        <f ca="1"/>
        <v>Bi et al., 2018</v>
      </c>
      <c r="C13" s="20">
        <f ca="1"/>
        <v>62</v>
      </c>
      <c r="D13" s="20">
        <f ca="1"/>
        <v>1.85</v>
      </c>
      <c r="E13" s="20">
        <f ca="1"/>
        <v>0.77</v>
      </c>
    </row>
    <row r="14" spans="1:5" x14ac:dyDescent="0.35">
      <c r="A14" s="20">
        <f ca="1"/>
        <v>23</v>
      </c>
      <c r="B14" s="22" t="str">
        <f ca="1"/>
        <v>Ejerhed et al., 2003</v>
      </c>
      <c r="C14" s="20">
        <f ca="1"/>
        <v>32</v>
      </c>
      <c r="D14" s="20">
        <f ca="1"/>
        <v>2.29</v>
      </c>
      <c r="E14" s="20">
        <f ca="1"/>
        <v>3.992</v>
      </c>
    </row>
    <row r="15" spans="1:5" x14ac:dyDescent="0.35">
      <c r="A15" s="20">
        <f ca="1"/>
        <v>23</v>
      </c>
      <c r="B15" s="22" t="str">
        <f ca="1"/>
        <v>Ejerhed et al., 2003</v>
      </c>
      <c r="C15" s="20">
        <f ca="1"/>
        <v>34</v>
      </c>
      <c r="D15" s="20">
        <f ca="1"/>
        <v>2.4700000000000002</v>
      </c>
      <c r="E15" s="20">
        <f ca="1"/>
        <v>3.4670000000000001</v>
      </c>
    </row>
    <row r="16" spans="1:5" x14ac:dyDescent="0.35">
      <c r="A16" s="20">
        <f ca="1"/>
        <v>25</v>
      </c>
      <c r="B16" s="22" t="str">
        <f ca="1"/>
        <v>Eriksson et al., 2006</v>
      </c>
      <c r="C16" s="20">
        <f ca="1"/>
        <v>42</v>
      </c>
      <c r="D16" s="20">
        <f ca="1"/>
        <v>0.95</v>
      </c>
      <c r="E16" s="20">
        <f ca="1"/>
        <v>0.91</v>
      </c>
    </row>
    <row r="17" spans="1:5" x14ac:dyDescent="0.35">
      <c r="A17" s="20">
        <f ca="1"/>
        <v>25</v>
      </c>
      <c r="B17" s="22" t="str">
        <f ca="1"/>
        <v>Eriksson et al., 2006</v>
      </c>
      <c r="C17" s="20">
        <f ca="1"/>
        <v>47</v>
      </c>
      <c r="D17" s="20">
        <f ca="1"/>
        <v>1.1000000000000001</v>
      </c>
      <c r="E17" s="20">
        <f ca="1"/>
        <v>0.95</v>
      </c>
    </row>
    <row r="18" spans="1:5" x14ac:dyDescent="0.35">
      <c r="A18" s="20">
        <f ca="1"/>
        <v>26</v>
      </c>
      <c r="B18" s="22" t="str">
        <f ca="1"/>
        <v>Feller &amp; Webster, 2003</v>
      </c>
      <c r="C18" s="20">
        <f ca="1"/>
        <v>27</v>
      </c>
      <c r="D18" s="20">
        <f ca="1"/>
        <v>0.5</v>
      </c>
      <c r="E18" s="20">
        <f ca="1"/>
        <v>1</v>
      </c>
    </row>
    <row r="19" spans="1:5" x14ac:dyDescent="0.35">
      <c r="A19" s="20">
        <f ca="1"/>
        <v>26</v>
      </c>
      <c r="B19" s="22" t="str">
        <f ca="1"/>
        <v>Feller &amp; Webster, 2003</v>
      </c>
      <c r="C19" s="20">
        <f ca="1"/>
        <v>21</v>
      </c>
      <c r="D19" s="20">
        <f ca="1"/>
        <v>1.1000000000000001</v>
      </c>
      <c r="E19" s="20">
        <f ca="1"/>
        <v>1.2</v>
      </c>
    </row>
    <row r="20" spans="1:5" x14ac:dyDescent="0.35">
      <c r="A20" s="20">
        <f ca="1"/>
        <v>30</v>
      </c>
      <c r="B20" s="22" t="str">
        <f ca="1"/>
        <v>Gifstad et al., 2013</v>
      </c>
      <c r="C20" s="20">
        <f ca="1"/>
        <v>41</v>
      </c>
      <c r="D20" s="20">
        <f ca="1"/>
        <v>1.4</v>
      </c>
      <c r="E20" s="20">
        <f ca="1"/>
        <v>1.8</v>
      </c>
    </row>
    <row r="21" spans="1:5" x14ac:dyDescent="0.35">
      <c r="A21" s="20">
        <f ca="1"/>
        <v>30</v>
      </c>
      <c r="B21" s="22" t="str">
        <f ca="1"/>
        <v>Gifstad et al., 2013</v>
      </c>
      <c r="C21" s="20">
        <f ca="1"/>
        <v>36</v>
      </c>
      <c r="D21" s="20">
        <f ca="1"/>
        <v>1.4</v>
      </c>
      <c r="E21" s="20">
        <f ca="1"/>
        <v>1.4</v>
      </c>
    </row>
    <row r="22" spans="1:5" x14ac:dyDescent="0.35">
      <c r="A22" s="20">
        <f ca="1"/>
        <v>33</v>
      </c>
      <c r="B22" s="22" t="str">
        <f ca="1"/>
        <v>Harilainen et al., 2006</v>
      </c>
      <c r="C22" s="20">
        <f ca="1"/>
        <v>37</v>
      </c>
      <c r="D22" s="20">
        <f ca="1"/>
        <v>1.5</v>
      </c>
      <c r="E22" s="20">
        <f ca="1"/>
        <v>3</v>
      </c>
    </row>
    <row r="23" spans="1:5" x14ac:dyDescent="0.35">
      <c r="A23" s="20">
        <f ca="1"/>
        <v>33</v>
      </c>
      <c r="B23" s="22" t="str">
        <f ca="1"/>
        <v>Harilainen et al., 2006</v>
      </c>
      <c r="C23" s="20">
        <f ca="1"/>
        <v>37</v>
      </c>
      <c r="D23" s="20">
        <f ca="1"/>
        <v>1.2</v>
      </c>
      <c r="E23" s="20">
        <f ca="1"/>
        <v>3.9</v>
      </c>
    </row>
    <row r="24" spans="1:5" x14ac:dyDescent="0.35">
      <c r="A24" s="20">
        <f ca="1"/>
        <v>35</v>
      </c>
      <c r="B24" s="22" t="str">
        <f ca="1"/>
        <v>Holm et al., 2010</v>
      </c>
      <c r="C24" s="20">
        <f ca="1"/>
        <v>28</v>
      </c>
      <c r="D24" s="20">
        <f ca="1"/>
        <v>3</v>
      </c>
      <c r="E24" s="20">
        <f ca="1"/>
        <v>3.2</v>
      </c>
    </row>
    <row r="25" spans="1:5" x14ac:dyDescent="0.35">
      <c r="A25" s="20">
        <f ca="1"/>
        <v>35</v>
      </c>
      <c r="B25" s="22" t="str">
        <f ca="1"/>
        <v>Holm et al., 2010</v>
      </c>
      <c r="C25" s="20">
        <f ca="1"/>
        <v>29</v>
      </c>
      <c r="D25" s="20">
        <f ca="1"/>
        <v>2</v>
      </c>
      <c r="E25" s="20">
        <f ca="1"/>
        <v>3.5</v>
      </c>
    </row>
    <row r="26" spans="1:5" x14ac:dyDescent="0.35">
      <c r="A26" s="20">
        <f ca="1"/>
        <v>36</v>
      </c>
      <c r="B26" s="22" t="str">
        <f ca="1"/>
        <v>Horstmann et al., 2022</v>
      </c>
      <c r="C26" s="20">
        <f ca="1"/>
        <v>26</v>
      </c>
      <c r="D26" s="20">
        <f ca="1"/>
        <v>0.2</v>
      </c>
      <c r="E26" s="20">
        <f ca="1"/>
        <v>2.2000000000000002</v>
      </c>
    </row>
    <row r="27" spans="1:5" x14ac:dyDescent="0.35">
      <c r="A27" s="20">
        <f ca="1"/>
        <v>36</v>
      </c>
      <c r="B27" s="22" t="str">
        <f ca="1"/>
        <v>Horstmann et al., 2022</v>
      </c>
      <c r="C27" s="20">
        <f ca="1"/>
        <v>23</v>
      </c>
      <c r="D27" s="20">
        <f ca="1"/>
        <v>0.7</v>
      </c>
      <c r="E27" s="20">
        <f ca="1"/>
        <v>1.1000000000000001</v>
      </c>
    </row>
    <row r="28" spans="1:5" x14ac:dyDescent="0.35">
      <c r="A28" s="20">
        <f ca="1"/>
        <v>41</v>
      </c>
      <c r="B28" s="22" t="str">
        <f ca="1"/>
        <v>Jansson et al., 2003</v>
      </c>
      <c r="C28" s="20">
        <f ca="1"/>
        <v>43</v>
      </c>
      <c r="D28" s="20">
        <f ca="1"/>
        <v>1.7</v>
      </c>
      <c r="E28" s="20">
        <f ca="1"/>
        <v>2.6320000000000001</v>
      </c>
    </row>
    <row r="29" spans="1:5" x14ac:dyDescent="0.35">
      <c r="A29" s="20">
        <f ca="1"/>
        <v>41</v>
      </c>
      <c r="B29" s="22" t="str">
        <f ca="1"/>
        <v>Jansson et al., 2003</v>
      </c>
      <c r="C29" s="20">
        <f ca="1"/>
        <v>46</v>
      </c>
      <c r="D29" s="20">
        <f ca="1"/>
        <v>1.2</v>
      </c>
      <c r="E29" s="20">
        <f ca="1"/>
        <v>2.6459999999999999</v>
      </c>
    </row>
    <row r="30" spans="1:5" x14ac:dyDescent="0.35">
      <c r="A30" s="20">
        <f ca="1"/>
        <v>43</v>
      </c>
      <c r="B30" s="22" t="str">
        <f ca="1"/>
        <v>Kautzner et al., 2015</v>
      </c>
      <c r="C30" s="20">
        <f ca="1"/>
        <v>74</v>
      </c>
      <c r="D30" s="20">
        <f ca="1"/>
        <v>0.6</v>
      </c>
      <c r="E30" s="20">
        <f ca="1"/>
        <v>0.20899999999999999</v>
      </c>
    </row>
    <row r="31" spans="1:5" x14ac:dyDescent="0.35">
      <c r="A31" s="20">
        <f ca="1"/>
        <v>43</v>
      </c>
      <c r="B31" s="22" t="str">
        <f ca="1"/>
        <v>Kautzner et al., 2015</v>
      </c>
      <c r="C31" s="20">
        <f ca="1"/>
        <v>73</v>
      </c>
      <c r="D31" s="20">
        <f ca="1"/>
        <v>0.5</v>
      </c>
      <c r="E31" s="20">
        <f ca="1"/>
        <v>0.41899999999999998</v>
      </c>
    </row>
    <row r="32" spans="1:5" x14ac:dyDescent="0.35">
      <c r="A32" s="20">
        <f ca="1"/>
        <v>45</v>
      </c>
      <c r="B32" s="22" t="str">
        <f ca="1"/>
        <v>Konrads et al., 2016</v>
      </c>
      <c r="C32" s="20">
        <f ca="1"/>
        <v>24</v>
      </c>
      <c r="D32" s="20">
        <f ca="1"/>
        <v>1.8</v>
      </c>
      <c r="E32" s="20">
        <f ca="1"/>
        <v>0.51400000000000001</v>
      </c>
    </row>
    <row r="33" spans="1:5" x14ac:dyDescent="0.35">
      <c r="A33" s="20">
        <f ca="1"/>
        <v>45</v>
      </c>
      <c r="B33" s="22" t="str">
        <f ca="1"/>
        <v>Konrads et al., 2016</v>
      </c>
      <c r="C33" s="20">
        <f ca="1"/>
        <v>23</v>
      </c>
      <c r="D33" s="20">
        <f ca="1"/>
        <v>2.2000000000000002</v>
      </c>
      <c r="E33" s="20">
        <f ca="1"/>
        <v>0.77800000000000002</v>
      </c>
    </row>
    <row r="34" spans="1:5" x14ac:dyDescent="0.35">
      <c r="A34" s="20">
        <f ca="1"/>
        <v>46</v>
      </c>
      <c r="B34" s="22" t="str">
        <f ca="1"/>
        <v>Laoruengthana et al., 2009</v>
      </c>
      <c r="C34" s="20">
        <f ca="1"/>
        <v>15</v>
      </c>
      <c r="D34" s="20">
        <f ca="1"/>
        <v>1.22</v>
      </c>
      <c r="E34" s="20">
        <f ca="1"/>
        <v>0.69</v>
      </c>
    </row>
    <row r="35" spans="1:5" x14ac:dyDescent="0.35">
      <c r="A35" s="20">
        <f ca="1"/>
        <v>46</v>
      </c>
      <c r="B35" s="22" t="str">
        <f ca="1"/>
        <v>Laoruengthana et al., 2009</v>
      </c>
      <c r="C35" s="20">
        <f ca="1"/>
        <v>13</v>
      </c>
      <c r="D35" s="20">
        <f ca="1"/>
        <v>0.96</v>
      </c>
      <c r="E35" s="20">
        <f ca="1"/>
        <v>0.41799999999999998</v>
      </c>
    </row>
    <row r="36" spans="1:5" x14ac:dyDescent="0.35">
      <c r="A36" s="20">
        <f ca="1"/>
        <v>49</v>
      </c>
      <c r="B36" s="22" t="str">
        <f ca="1"/>
        <v>Laxdal et al., 2005</v>
      </c>
      <c r="C36" s="20">
        <f ca="1"/>
        <v>40</v>
      </c>
      <c r="D36" s="20">
        <f ca="1"/>
        <v>1</v>
      </c>
      <c r="E36" s="20">
        <f ca="1"/>
        <v>3.0139999999999998</v>
      </c>
    </row>
    <row r="37" spans="1:5" x14ac:dyDescent="0.35">
      <c r="A37" s="20">
        <f ca="1"/>
        <v>49</v>
      </c>
      <c r="B37" s="22" t="str">
        <f ca="1"/>
        <v>Laxdal et al., 2005</v>
      </c>
      <c r="C37" s="20">
        <f ca="1"/>
        <v>78</v>
      </c>
      <c r="D37" s="20">
        <f ca="1"/>
        <v>1.5</v>
      </c>
      <c r="E37" s="20">
        <f ca="1"/>
        <v>3.1179999999999999</v>
      </c>
    </row>
    <row r="38" spans="1:5" x14ac:dyDescent="0.35">
      <c r="A38" s="20">
        <f ca="1"/>
        <v>51</v>
      </c>
      <c r="B38" s="22" t="str">
        <f ca="1"/>
        <v>Li et al., 2015</v>
      </c>
      <c r="C38" s="20">
        <f ca="1"/>
        <v>32</v>
      </c>
      <c r="D38" s="20">
        <f ca="1"/>
        <v>2.1</v>
      </c>
      <c r="E38" s="20">
        <f ca="1"/>
        <v>1.6</v>
      </c>
    </row>
    <row r="39" spans="1:5" x14ac:dyDescent="0.35">
      <c r="A39" s="20">
        <f ca="1"/>
        <v>51</v>
      </c>
      <c r="B39" s="22" t="str">
        <f ca="1"/>
        <v>Li et al., 2015</v>
      </c>
      <c r="C39" s="20">
        <f ca="1"/>
        <v>32</v>
      </c>
      <c r="D39" s="20">
        <f ca="1"/>
        <v>3.5</v>
      </c>
      <c r="E39" s="20">
        <f ca="1"/>
        <v>1.2</v>
      </c>
    </row>
    <row r="40" spans="1:5" x14ac:dyDescent="0.35">
      <c r="A40" s="20">
        <f ca="1"/>
        <v>52</v>
      </c>
      <c r="B40" s="22" t="str">
        <f ca="1"/>
        <v>Lidén et al., 2007</v>
      </c>
      <c r="C40" s="20">
        <f ca="1"/>
        <v>30</v>
      </c>
      <c r="D40" s="20">
        <f ca="1"/>
        <v>2.2999999999999998</v>
      </c>
      <c r="E40" s="20">
        <f ca="1"/>
        <v>3.0630000000000002</v>
      </c>
    </row>
    <row r="41" spans="1:5" x14ac:dyDescent="0.35">
      <c r="A41" s="20">
        <f ca="1"/>
        <v>52</v>
      </c>
      <c r="B41" s="22" t="str">
        <f ca="1"/>
        <v>Lidén et al., 2007</v>
      </c>
      <c r="C41" s="20">
        <f ca="1"/>
        <v>32</v>
      </c>
      <c r="D41" s="20">
        <f ca="1"/>
        <v>2.7</v>
      </c>
      <c r="E41" s="20">
        <f ca="1"/>
        <v>3.387</v>
      </c>
    </row>
    <row r="42" spans="1:5" x14ac:dyDescent="0.35">
      <c r="A42" s="20">
        <f ca="1"/>
        <v>53</v>
      </c>
      <c r="B42" s="22" t="str">
        <f ca="1"/>
        <v>Lind et al., 2020</v>
      </c>
      <c r="C42" s="20">
        <f ca="1"/>
        <v>49</v>
      </c>
      <c r="D42" s="20">
        <f ca="1"/>
        <v>1.9</v>
      </c>
      <c r="E42" s="20">
        <f ca="1"/>
        <v>1.7</v>
      </c>
    </row>
    <row r="43" spans="1:5" x14ac:dyDescent="0.35">
      <c r="A43" s="20">
        <f ca="1"/>
        <v>53</v>
      </c>
      <c r="B43" s="22" t="str">
        <f ca="1"/>
        <v>Lind et al., 2020</v>
      </c>
      <c r="C43" s="20">
        <f ca="1"/>
        <v>47</v>
      </c>
      <c r="D43" s="20">
        <f ca="1"/>
        <v>1.8</v>
      </c>
      <c r="E43" s="20">
        <f ca="1"/>
        <v>1</v>
      </c>
    </row>
    <row r="44" spans="1:5" x14ac:dyDescent="0.35">
      <c r="A44" s="20">
        <f ca="1"/>
        <v>54</v>
      </c>
      <c r="B44" s="22" t="str">
        <f ca="1"/>
        <v>Lucidi et al., 2025</v>
      </c>
      <c r="C44" s="20">
        <f ca="1"/>
        <v>19</v>
      </c>
      <c r="D44" s="20">
        <f ca="1"/>
        <v>-0.1</v>
      </c>
      <c r="E44" s="20">
        <f ca="1"/>
        <v>1.6</v>
      </c>
    </row>
    <row r="45" spans="1:5" x14ac:dyDescent="0.35">
      <c r="A45" s="20">
        <f ca="1"/>
        <v>54</v>
      </c>
      <c r="B45" s="22" t="str">
        <f ca="1"/>
        <v>Lucidi et al., 2025</v>
      </c>
      <c r="C45" s="20">
        <f ca="1"/>
        <v>20</v>
      </c>
      <c r="D45" s="20">
        <f ca="1"/>
        <v>1.5</v>
      </c>
      <c r="E45" s="20">
        <f ca="1"/>
        <v>1.2</v>
      </c>
    </row>
    <row r="46" spans="1:5" x14ac:dyDescent="0.35">
      <c r="A46" s="20">
        <f ca="1"/>
        <v>55</v>
      </c>
      <c r="B46" s="22" t="str">
        <f ca="1"/>
        <v>Lui et al., 2012</v>
      </c>
      <c r="C46" s="20">
        <f ca="1"/>
        <v>14</v>
      </c>
      <c r="D46" s="20">
        <f ca="1"/>
        <v>3.7</v>
      </c>
      <c r="E46" s="20">
        <f ca="1"/>
        <v>1.4</v>
      </c>
    </row>
    <row r="47" spans="1:5" x14ac:dyDescent="0.35">
      <c r="A47" s="20">
        <f ca="1"/>
        <v>55</v>
      </c>
      <c r="B47" s="22" t="str">
        <f ca="1"/>
        <v>Lui et al., 2012</v>
      </c>
      <c r="C47" s="20">
        <f ca="1"/>
        <v>17</v>
      </c>
      <c r="D47" s="20">
        <f ca="1"/>
        <v>3.1</v>
      </c>
      <c r="E47" s="20">
        <f ca="1"/>
        <v>1.6</v>
      </c>
    </row>
    <row r="48" spans="1:5" x14ac:dyDescent="0.35">
      <c r="A48" s="20">
        <f ca="1"/>
        <v>56</v>
      </c>
      <c r="B48" s="22" t="str">
        <f ca="1"/>
        <v>Lund et al., 2014</v>
      </c>
      <c r="C48" s="20">
        <f ca="1"/>
        <v>18</v>
      </c>
      <c r="D48" s="20">
        <f ca="1"/>
        <v>1.1000000000000001</v>
      </c>
      <c r="E48" s="20">
        <f ca="1"/>
        <v>1.4</v>
      </c>
    </row>
    <row r="49" spans="1:5" x14ac:dyDescent="0.35">
      <c r="A49" s="20">
        <f ca="1"/>
        <v>56</v>
      </c>
      <c r="B49" s="22" t="str">
        <f ca="1"/>
        <v>Lund et al., 2014</v>
      </c>
      <c r="C49" s="20">
        <f ca="1"/>
        <v>21</v>
      </c>
      <c r="D49" s="20">
        <f ca="1"/>
        <v>0.8</v>
      </c>
      <c r="E49" s="20">
        <f ca="1"/>
        <v>1.7</v>
      </c>
    </row>
    <row r="50" spans="1:5" x14ac:dyDescent="0.35">
      <c r="A50" s="20">
        <f ca="1"/>
        <v>58</v>
      </c>
      <c r="B50" s="22" t="str">
        <f ca="1"/>
        <v>Malik et al., 2026</v>
      </c>
      <c r="C50" s="20">
        <f ca="1"/>
        <v>25</v>
      </c>
      <c r="D50" s="20">
        <f ca="1"/>
        <v>2.1</v>
      </c>
      <c r="E50" s="20">
        <f ca="1"/>
        <v>1</v>
      </c>
    </row>
    <row r="51" spans="1:5" x14ac:dyDescent="0.35">
      <c r="A51" s="20">
        <f ca="1"/>
        <v>58</v>
      </c>
      <c r="B51" s="22" t="str">
        <f ca="1"/>
        <v>Malik et al., 2026</v>
      </c>
      <c r="C51" s="20">
        <f ca="1"/>
        <v>25</v>
      </c>
      <c r="D51" s="20">
        <f ca="1"/>
        <v>1.8</v>
      </c>
      <c r="E51" s="20">
        <f ca="1"/>
        <v>0.9</v>
      </c>
    </row>
    <row r="52" spans="1:5" x14ac:dyDescent="0.35">
      <c r="A52" s="20">
        <f ca="1"/>
        <v>62</v>
      </c>
      <c r="B52" s="22" t="str">
        <f ca="1"/>
        <v>Matsumoto et al., 2006</v>
      </c>
      <c r="C52" s="20">
        <f ca="1"/>
        <v>37</v>
      </c>
      <c r="D52" s="20">
        <f ca="1"/>
        <v>1.2</v>
      </c>
      <c r="E52" s="20">
        <f ca="1"/>
        <v>2.1</v>
      </c>
    </row>
    <row r="53" spans="1:5" x14ac:dyDescent="0.35">
      <c r="A53" s="20">
        <f ca="1"/>
        <v>62</v>
      </c>
      <c r="B53" s="22" t="str">
        <f ca="1"/>
        <v>Matsumoto et al., 2006</v>
      </c>
      <c r="C53" s="20">
        <f ca="1"/>
        <v>35</v>
      </c>
      <c r="D53" s="20">
        <f ca="1"/>
        <v>1.7</v>
      </c>
      <c r="E53" s="20">
        <f ca="1"/>
        <v>1.4</v>
      </c>
    </row>
    <row r="54" spans="1:5" x14ac:dyDescent="0.35">
      <c r="A54" s="20">
        <f ca="1"/>
        <v>76</v>
      </c>
      <c r="B54" s="22" t="str">
        <f ca="1"/>
        <v>Pinczewski et al., 2007</v>
      </c>
      <c r="C54" s="20">
        <f ca="1"/>
        <v>54</v>
      </c>
      <c r="D54" s="20">
        <f ca="1"/>
        <v>1.2</v>
      </c>
      <c r="E54" s="20">
        <f ca="1"/>
        <v>1.6870000000000001</v>
      </c>
    </row>
    <row r="55" spans="1:5" x14ac:dyDescent="0.35">
      <c r="A55" s="20">
        <f ca="1"/>
        <v>76</v>
      </c>
      <c r="B55" s="22" t="str">
        <f ca="1"/>
        <v>Pinczewski et al., 2007</v>
      </c>
      <c r="C55" s="20">
        <f ca="1"/>
        <v>58</v>
      </c>
      <c r="D55" s="20">
        <f ca="1"/>
        <v>1.6</v>
      </c>
      <c r="E55" s="20">
        <f ca="1"/>
        <v>1.554</v>
      </c>
    </row>
    <row r="56" spans="1:5" x14ac:dyDescent="0.35">
      <c r="A56" s="20">
        <f ca="1"/>
        <v>77</v>
      </c>
      <c r="B56" s="22" t="str">
        <f ca="1"/>
        <v>Popovic et al., 2024</v>
      </c>
      <c r="C56" s="20">
        <f ca="1"/>
        <v>38</v>
      </c>
      <c r="D56" s="20">
        <f ca="1"/>
        <v>1.3</v>
      </c>
      <c r="E56" s="20">
        <f ca="1"/>
        <v>2.2000000000000002</v>
      </c>
    </row>
    <row r="57" spans="1:5" x14ac:dyDescent="0.35">
      <c r="A57" s="20">
        <f ca="1"/>
        <v>77</v>
      </c>
      <c r="B57" s="22" t="str">
        <f ca="1"/>
        <v>Popovic et al., 2024</v>
      </c>
      <c r="C57" s="20">
        <f ca="1"/>
        <v>33</v>
      </c>
      <c r="D57" s="20">
        <f ca="1"/>
        <v>1.5</v>
      </c>
      <c r="E57" s="20">
        <f ca="1"/>
        <v>3.3</v>
      </c>
    </row>
    <row r="58" spans="1:5" x14ac:dyDescent="0.35">
      <c r="A58" s="20">
        <f ca="1"/>
        <v>85</v>
      </c>
      <c r="B58" s="22" t="str">
        <f ca="1"/>
        <v>Smith et al., 2020</v>
      </c>
      <c r="C58" s="20">
        <f ca="1"/>
        <v>32</v>
      </c>
      <c r="D58" s="20">
        <f ca="1"/>
        <v>0</v>
      </c>
      <c r="E58" s="20">
        <f ca="1"/>
        <v>0.8</v>
      </c>
    </row>
    <row r="59" spans="1:5" x14ac:dyDescent="0.35">
      <c r="A59" s="20">
        <f ca="1"/>
        <v>85</v>
      </c>
      <c r="B59" s="22" t="str">
        <f ca="1"/>
        <v>Smith et al., 2020</v>
      </c>
      <c r="C59" s="20">
        <f ca="1"/>
        <v>32</v>
      </c>
      <c r="D59" s="20">
        <f ca="1"/>
        <v>0.3</v>
      </c>
      <c r="E59" s="20">
        <f ca="1"/>
        <v>0.7</v>
      </c>
    </row>
    <row r="60" spans="1:5" x14ac:dyDescent="0.35">
      <c r="A60" s="20">
        <f ca="1"/>
        <v>87</v>
      </c>
      <c r="B60" s="22" t="str">
        <f ca="1"/>
        <v>Sonnery-cottet et al., 2026</v>
      </c>
      <c r="C60" s="20">
        <f ca="1"/>
        <v>296</v>
      </c>
      <c r="D60" s="20">
        <f ca="1"/>
        <v>1.2</v>
      </c>
      <c r="E60" s="20">
        <f ca="1"/>
        <v>1.4</v>
      </c>
    </row>
    <row r="61" spans="1:5" x14ac:dyDescent="0.35">
      <c r="A61" s="20">
        <f ca="1"/>
        <v>87</v>
      </c>
      <c r="B61" s="22" t="str">
        <f ca="1"/>
        <v>Sonnery-cottet et al., 2026</v>
      </c>
      <c r="C61" s="20">
        <f ca="1"/>
        <v>297</v>
      </c>
      <c r="D61" s="20">
        <f ca="1"/>
        <v>0.9</v>
      </c>
      <c r="E61" s="20">
        <f ca="1"/>
        <v>1</v>
      </c>
    </row>
    <row r="62" spans="1:5" x14ac:dyDescent="0.35">
      <c r="A62" s="20">
        <f ca="1"/>
        <v>95</v>
      </c>
      <c r="B62" s="22" t="str">
        <f ca="1"/>
        <v>Webster et al., 2001</v>
      </c>
      <c r="C62" s="20">
        <f ca="1"/>
        <v>23</v>
      </c>
      <c r="D62" s="20">
        <f ca="1"/>
        <v>1.1000000000000001</v>
      </c>
      <c r="E62" s="20">
        <f ca="1"/>
        <v>0.64800000000000002</v>
      </c>
    </row>
    <row r="63" spans="1:5" x14ac:dyDescent="0.35">
      <c r="A63" s="20">
        <f ca="1"/>
        <v>95</v>
      </c>
      <c r="B63" s="22" t="str">
        <f ca="1"/>
        <v>Webster et al., 2001</v>
      </c>
      <c r="C63" s="20">
        <f ca="1"/>
        <v>31</v>
      </c>
      <c r="D63" s="20">
        <f ca="1"/>
        <v>1.7</v>
      </c>
      <c r="E63" s="20">
        <f ca="1"/>
        <v>0.97399999999999998</v>
      </c>
    </row>
    <row r="64" spans="1:5" x14ac:dyDescent="0.35">
      <c r="A64" s="20">
        <f ca="1"/>
        <v>96</v>
      </c>
      <c r="B64" s="22" t="str">
        <f ca="1"/>
        <v>Wipfler et al., 2011</v>
      </c>
      <c r="C64" s="20">
        <f ca="1"/>
        <v>29</v>
      </c>
      <c r="D64" s="20">
        <f ca="1"/>
        <v>0.9</v>
      </c>
      <c r="E64" s="20">
        <f ca="1"/>
        <v>0.27100000000000002</v>
      </c>
    </row>
    <row r="65" spans="1:5" x14ac:dyDescent="0.35">
      <c r="A65" s="20">
        <f ca="1"/>
        <v>96</v>
      </c>
      <c r="B65" s="22" t="str">
        <f ca="1"/>
        <v>Wipfler et al., 2011</v>
      </c>
      <c r="C65" s="20">
        <f ca="1"/>
        <v>25</v>
      </c>
      <c r="D65" s="20">
        <f ca="1"/>
        <v>0.64</v>
      </c>
      <c r="E65" s="20">
        <f ca="1"/>
        <v>0.35599999999999998</v>
      </c>
    </row>
    <row r="66" spans="1:5" x14ac:dyDescent="0.35">
      <c r="A66" s="20">
        <f ca="1"/>
        <v>97</v>
      </c>
      <c r="B66" s="22" t="str">
        <f ca="1"/>
        <v>Yadav et al., 2025</v>
      </c>
      <c r="C66" s="20">
        <f ca="1"/>
        <v>36</v>
      </c>
      <c r="D66" s="20">
        <f ca="1"/>
        <v>3.77</v>
      </c>
      <c r="E66" s="20">
        <f ca="1"/>
        <v>2.0099999999999998</v>
      </c>
    </row>
    <row r="67" spans="1:5" x14ac:dyDescent="0.35">
      <c r="A67" s="20">
        <f ca="1"/>
        <v>97</v>
      </c>
      <c r="B67" s="22" t="str">
        <f ca="1"/>
        <v>Yadav et al., 2025</v>
      </c>
      <c r="C67" s="20">
        <f ca="1"/>
        <v>33</v>
      </c>
      <c r="D67" s="20">
        <f ca="1"/>
        <v>2.73</v>
      </c>
      <c r="E67" s="20">
        <f ca="1"/>
        <v>1.64</v>
      </c>
    </row>
    <row r="68" spans="1:5" x14ac:dyDescent="0.35">
      <c r="A68" s="20">
        <f ca="1"/>
        <v>98</v>
      </c>
      <c r="B68" s="22" t="str">
        <f ca="1"/>
        <v>Yoo et al., 2017</v>
      </c>
      <c r="C68" s="20">
        <f ca="1"/>
        <v>68</v>
      </c>
      <c r="D68" s="20">
        <f ca="1"/>
        <v>2.2000000000000002</v>
      </c>
      <c r="E68" s="20">
        <f ca="1"/>
        <v>0</v>
      </c>
    </row>
    <row r="69" spans="1:5" x14ac:dyDescent="0.35">
      <c r="A69" s="20">
        <f ca="1"/>
        <v>98</v>
      </c>
      <c r="B69" s="22" t="str">
        <f ca="1"/>
        <v>Yoo et al., 2017</v>
      </c>
      <c r="C69" s="20">
        <f ca="1"/>
        <v>64</v>
      </c>
      <c r="D69" s="20">
        <f ca="1"/>
        <v>2.5</v>
      </c>
      <c r="E69" s="20">
        <f ca="1"/>
        <v>0</v>
      </c>
    </row>
    <row r="70" spans="1:5" x14ac:dyDescent="0.35">
      <c r="A70" s="20">
        <f ca="1"/>
        <v>100</v>
      </c>
      <c r="B70" s="22" t="str">
        <f ca="1"/>
        <v>Zaffagnini et al., 2011</v>
      </c>
      <c r="C70" s="20">
        <f ca="1"/>
        <v>40</v>
      </c>
      <c r="D70" s="20">
        <f ca="1"/>
        <v>0.4</v>
      </c>
      <c r="E70" s="20">
        <f ca="1"/>
        <v>0.6</v>
      </c>
    </row>
    <row r="71" spans="1:5" x14ac:dyDescent="0.35">
      <c r="A71" s="20">
        <f ca="1"/>
        <v>100</v>
      </c>
      <c r="B71" s="22" t="str">
        <f ca="1"/>
        <v>Zaffagnini et al., 2011</v>
      </c>
      <c r="C71" s="20">
        <f ca="1"/>
        <v>39</v>
      </c>
      <c r="D71" s="20">
        <f ca="1"/>
        <v>1.1000000000000001</v>
      </c>
      <c r="E71" s="20">
        <f ca="1"/>
        <v>1.9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6BC3-64C6-498A-AA55-BA183725BC1A}">
  <dimension ref="A1:I53"/>
  <sheetViews>
    <sheetView workbookViewId="0">
      <selection activeCell="H16" sqref="H16"/>
    </sheetView>
  </sheetViews>
  <sheetFormatPr defaultRowHeight="14.5" x14ac:dyDescent="0.35"/>
  <cols>
    <col min="1" max="1" width="2.81640625" style="20" bestFit="1" customWidth="1"/>
    <col min="2" max="2" width="22.453125" bestFit="1" customWidth="1"/>
    <col min="3" max="3" width="10.36328125" style="20" bestFit="1" customWidth="1"/>
    <col min="4" max="4" width="9.08984375" style="20" bestFit="1" customWidth="1"/>
    <col min="5" max="5" width="15" style="23" bestFit="1" customWidth="1"/>
    <col min="6" max="16384" width="8.7265625" style="20"/>
  </cols>
  <sheetData>
    <row r="1" spans="1:9" x14ac:dyDescent="0.35">
      <c r="A1" s="20" t="s">
        <v>73</v>
      </c>
      <c r="B1" t="s">
        <v>74</v>
      </c>
      <c r="C1" s="20" t="s">
        <v>78</v>
      </c>
      <c r="D1" s="20" t="s">
        <v>79</v>
      </c>
      <c r="E1" s="20" t="s">
        <v>91</v>
      </c>
    </row>
    <row r="2" spans="1:9" x14ac:dyDescent="0.35">
      <c r="A2" s="20" cm="1">
        <f t="array" aca="1" ref="A2:A53" ca="1">IF(A$1&lt;&gt;"",_xlfn._xlws.FILTER(INDIRECT(SUBSTITUTE(A$1, " ","_")),Outcome="pivot shift",""),"")</f>
        <v>2</v>
      </c>
      <c r="B2" s="22" t="str" cm="1">
        <f t="array" aca="1" ref="B2:B53" ca="1">IF(B$1&lt;&gt;"",_xlfn._xlws.FILTER(INDIRECT(SUBSTITUTE(B$1, " ","_")),Outcome="pivot shift",""),"")</f>
        <v>Aglietti et al., 2004</v>
      </c>
      <c r="C2" s="20" cm="1">
        <f t="array" aca="1" ref="C2:C53" ca="1">IF(C$1&lt;&gt;"",_xlfn._xlws.FILTER(INDIRECT(SUBSTITUTE(C$1, " ","_")),Outcome="pivot shift",""),"")</f>
        <v>60</v>
      </c>
      <c r="D2" s="20" cm="1">
        <f t="array" aca="1" ref="D2:D53" ca="1">IF(D$1&lt;&gt;"",_xlfn._xlws.FILTER(INDIRECT(SUBSTITUTE(D$1, " ","_")),Outcome="pivot shift",""),"")</f>
        <v>0</v>
      </c>
      <c r="E2" s="23">
        <f ca="1">(D2+0.5)/(C2+0.5)</f>
        <v>8.2644628099173556E-3</v>
      </c>
      <c r="F2" s="20" t="str" cm="1">
        <f t="array" aca="1" ref="F2" ca="1">IF(F$1&lt;&gt;"",_xlfn._xlws.FILTER(INDIRECT(SUBSTITUTE(F$1, " ","_")),Outcome="pivot shift",""),"")</f>
        <v/>
      </c>
      <c r="G2" s="20" t="str" cm="1">
        <f t="array" aca="1" ref="G2" ca="1">IF(G$1&lt;&gt;"",_xlfn._xlws.FILTER(INDIRECT(SUBSTITUTE(G$1, " ","_")),Outcome="pivot shift",""),"")</f>
        <v/>
      </c>
      <c r="H2" s="20" t="str" cm="1">
        <f t="array" aca="1" ref="H2" ca="1">IF(H$1&lt;&gt;"",_xlfn._xlws.FILTER(INDIRECT(SUBSTITUTE(H$1, " ","_")),Outcome="pivot shift",""),"")</f>
        <v/>
      </c>
      <c r="I2" s="20" t="str" cm="1">
        <f t="array" aca="1" ref="I2" ca="1">IF(I$1&lt;&gt;"",_xlfn._xlws.FILTER(INDIRECT(SUBSTITUTE(I$1, " ","_")),Outcome="pivot shift",""),"")</f>
        <v/>
      </c>
    </row>
    <row r="3" spans="1:9" x14ac:dyDescent="0.35">
      <c r="A3" s="20">
        <f ca="1"/>
        <v>2</v>
      </c>
      <c r="B3" t="str">
        <f ca="1"/>
        <v>Aglietti et al., 2004</v>
      </c>
      <c r="C3" s="20">
        <f ca="1"/>
        <v>60</v>
      </c>
      <c r="D3" s="20">
        <f ca="1"/>
        <v>0</v>
      </c>
      <c r="E3" s="23">
        <f t="shared" ref="E3:E53" ca="1" si="0">(D3+0.5)/(C3+0.5)</f>
        <v>8.2644628099173556E-3</v>
      </c>
    </row>
    <row r="4" spans="1:9" x14ac:dyDescent="0.35">
      <c r="A4" s="20">
        <f ca="1"/>
        <v>5</v>
      </c>
      <c r="B4" t="str">
        <f ca="1"/>
        <v>Anderson et al., 2001</v>
      </c>
      <c r="C4" s="20">
        <f ca="1"/>
        <v>35</v>
      </c>
      <c r="D4" s="20">
        <f ca="1"/>
        <v>7</v>
      </c>
      <c r="E4" s="23">
        <f t="shared" ca="1" si="0"/>
        <v>0.21126760563380281</v>
      </c>
    </row>
    <row r="5" spans="1:9" x14ac:dyDescent="0.35">
      <c r="A5" s="20">
        <f ca="1"/>
        <v>5</v>
      </c>
      <c r="B5" t="str">
        <f ca="1"/>
        <v>Anderson et al., 2001</v>
      </c>
      <c r="C5" s="20">
        <f ca="1"/>
        <v>33</v>
      </c>
      <c r="D5" s="20">
        <f ca="1"/>
        <v>8</v>
      </c>
      <c r="E5" s="23">
        <f t="shared" ca="1" si="0"/>
        <v>0.2537313432835821</v>
      </c>
    </row>
    <row r="6" spans="1:9" x14ac:dyDescent="0.35">
      <c r="A6" s="20">
        <f ca="1"/>
        <v>11</v>
      </c>
      <c r="B6" t="str">
        <f ca="1"/>
        <v>Beynnon et al., 2002</v>
      </c>
      <c r="C6" s="20">
        <f ca="1"/>
        <v>22</v>
      </c>
      <c r="D6" s="20">
        <f ca="1"/>
        <v>0</v>
      </c>
      <c r="E6" s="23">
        <f t="shared" ca="1" si="0"/>
        <v>2.2222222222222223E-2</v>
      </c>
    </row>
    <row r="7" spans="1:9" x14ac:dyDescent="0.35">
      <c r="A7" s="20">
        <f ca="1"/>
        <v>11</v>
      </c>
      <c r="B7" t="str">
        <f ca="1"/>
        <v>Beynnon et al., 2002</v>
      </c>
      <c r="C7" s="20">
        <f ca="1"/>
        <v>22</v>
      </c>
      <c r="D7" s="20">
        <f ca="1"/>
        <v>6</v>
      </c>
      <c r="E7" s="23">
        <f t="shared" ca="1" si="0"/>
        <v>0.28888888888888886</v>
      </c>
    </row>
    <row r="8" spans="1:9" x14ac:dyDescent="0.35">
      <c r="A8" s="20">
        <f ca="1"/>
        <v>12</v>
      </c>
      <c r="B8" t="str">
        <f ca="1"/>
        <v>Bi et al., 2018</v>
      </c>
      <c r="C8" s="20">
        <f ca="1"/>
        <v>62</v>
      </c>
      <c r="D8" s="20">
        <f ca="1"/>
        <v>0</v>
      </c>
      <c r="E8" s="23">
        <f t="shared" ca="1" si="0"/>
        <v>8.0000000000000002E-3</v>
      </c>
    </row>
    <row r="9" spans="1:9" x14ac:dyDescent="0.35">
      <c r="A9" s="20">
        <f ca="1"/>
        <v>12</v>
      </c>
      <c r="B9" t="str">
        <f ca="1"/>
        <v>Bi et al., 2018</v>
      </c>
      <c r="C9" s="20">
        <f ca="1"/>
        <v>62</v>
      </c>
      <c r="D9" s="20">
        <f ca="1"/>
        <v>0</v>
      </c>
      <c r="E9" s="23">
        <f t="shared" ca="1" si="0"/>
        <v>8.0000000000000002E-3</v>
      </c>
    </row>
    <row r="10" spans="1:9" x14ac:dyDescent="0.35">
      <c r="A10" s="20">
        <f ca="1"/>
        <v>13</v>
      </c>
      <c r="B10" t="str">
        <f ca="1"/>
        <v>Björnsson et al., 2016</v>
      </c>
      <c r="C10" s="20">
        <f ca="1"/>
        <v>61</v>
      </c>
      <c r="D10" s="20">
        <f ca="1"/>
        <v>12</v>
      </c>
      <c r="E10" s="23">
        <f t="shared" ca="1" si="0"/>
        <v>0.2032520325203252</v>
      </c>
    </row>
    <row r="11" spans="1:9" x14ac:dyDescent="0.35">
      <c r="A11" s="20">
        <f ca="1"/>
        <v>13</v>
      </c>
      <c r="B11" t="str">
        <f ca="1"/>
        <v>Björnsson et al., 2016</v>
      </c>
      <c r="C11" s="20">
        <f ca="1"/>
        <v>86</v>
      </c>
      <c r="D11" s="20">
        <f ca="1"/>
        <v>13</v>
      </c>
      <c r="E11" s="23">
        <f t="shared" ca="1" si="0"/>
        <v>0.15606936416184972</v>
      </c>
    </row>
    <row r="12" spans="1:9" x14ac:dyDescent="0.35">
      <c r="A12" s="20">
        <f ca="1"/>
        <v>25</v>
      </c>
      <c r="B12" t="str">
        <f ca="1"/>
        <v>Eriksson et al., 2006</v>
      </c>
      <c r="C12" s="20">
        <f ca="1"/>
        <v>42</v>
      </c>
      <c r="D12" s="20">
        <f ca="1"/>
        <v>2</v>
      </c>
      <c r="E12" s="23">
        <f t="shared" ca="1" si="0"/>
        <v>5.8823529411764705E-2</v>
      </c>
    </row>
    <row r="13" spans="1:9" x14ac:dyDescent="0.35">
      <c r="A13" s="20">
        <f ca="1"/>
        <v>25</v>
      </c>
      <c r="B13" t="str">
        <f ca="1"/>
        <v>Eriksson et al., 2006</v>
      </c>
      <c r="C13" s="20">
        <f ca="1"/>
        <v>47</v>
      </c>
      <c r="D13" s="20">
        <f ca="1"/>
        <v>9</v>
      </c>
      <c r="E13" s="23">
        <f t="shared" ca="1" si="0"/>
        <v>0.2</v>
      </c>
    </row>
    <row r="14" spans="1:9" x14ac:dyDescent="0.35">
      <c r="A14" s="20">
        <f ca="1"/>
        <v>26</v>
      </c>
      <c r="B14" t="str">
        <f ca="1"/>
        <v>Feller &amp; Webster, 2003</v>
      </c>
      <c r="C14" s="20">
        <f ca="1"/>
        <v>27</v>
      </c>
      <c r="D14" s="20">
        <f ca="1"/>
        <v>0</v>
      </c>
      <c r="E14" s="23">
        <f t="shared" ca="1" si="0"/>
        <v>1.8181818181818181E-2</v>
      </c>
    </row>
    <row r="15" spans="1:9" x14ac:dyDescent="0.35">
      <c r="A15" s="20">
        <f ca="1"/>
        <v>26</v>
      </c>
      <c r="B15" t="str">
        <f ca="1"/>
        <v>Feller &amp; Webster, 2003</v>
      </c>
      <c r="C15" s="20">
        <f ca="1"/>
        <v>21</v>
      </c>
      <c r="D15" s="20">
        <f ca="1"/>
        <v>5</v>
      </c>
      <c r="E15" s="23">
        <f t="shared" ca="1" si="0"/>
        <v>0.2558139534883721</v>
      </c>
    </row>
    <row r="16" spans="1:9" x14ac:dyDescent="0.35">
      <c r="A16" s="20">
        <f ca="1"/>
        <v>32</v>
      </c>
      <c r="B16" t="str">
        <f ca="1"/>
        <v>Guglielmetti et al., 2021</v>
      </c>
      <c r="C16" s="20">
        <f ca="1"/>
        <v>31</v>
      </c>
      <c r="D16" s="20">
        <f ca="1"/>
        <v>2</v>
      </c>
      <c r="E16" s="23">
        <f t="shared" ca="1" si="0"/>
        <v>7.9365079365079361E-2</v>
      </c>
    </row>
    <row r="17" spans="1:5" x14ac:dyDescent="0.35">
      <c r="A17" s="20">
        <f ca="1"/>
        <v>32</v>
      </c>
      <c r="B17" t="str">
        <f ca="1"/>
        <v>Guglielmetti et al., 2021</v>
      </c>
      <c r="C17" s="20">
        <f ca="1"/>
        <v>31</v>
      </c>
      <c r="D17" s="20">
        <f ca="1"/>
        <v>3</v>
      </c>
      <c r="E17" s="23">
        <f t="shared" ca="1" si="0"/>
        <v>0.1111111111111111</v>
      </c>
    </row>
    <row r="18" spans="1:5" x14ac:dyDescent="0.35">
      <c r="A18" s="20">
        <f ca="1"/>
        <v>33</v>
      </c>
      <c r="B18" t="str">
        <f ca="1"/>
        <v>Harilainen et al., 2006</v>
      </c>
      <c r="C18" s="20">
        <f ca="1"/>
        <v>37</v>
      </c>
      <c r="D18" s="20">
        <f ca="1"/>
        <v>0</v>
      </c>
      <c r="E18" s="23">
        <f t="shared" ca="1" si="0"/>
        <v>1.3333333333333334E-2</v>
      </c>
    </row>
    <row r="19" spans="1:5" x14ac:dyDescent="0.35">
      <c r="A19" s="20">
        <f ca="1"/>
        <v>33</v>
      </c>
      <c r="B19" t="str">
        <f ca="1"/>
        <v>Harilainen et al., 2006</v>
      </c>
      <c r="C19" s="20">
        <f ca="1"/>
        <v>37</v>
      </c>
      <c r="D19" s="20">
        <f ca="1"/>
        <v>1</v>
      </c>
      <c r="E19" s="23">
        <f t="shared" ca="1" si="0"/>
        <v>0.04</v>
      </c>
    </row>
    <row r="20" spans="1:5" x14ac:dyDescent="0.35">
      <c r="A20" s="20">
        <f ca="1"/>
        <v>34</v>
      </c>
      <c r="B20" t="str">
        <f ca="1"/>
        <v>Heijne &amp; Werner, 2010</v>
      </c>
      <c r="C20" s="20">
        <f ca="1"/>
        <v>30</v>
      </c>
      <c r="D20" s="20">
        <f ca="1"/>
        <v>3</v>
      </c>
      <c r="E20" s="23">
        <f t="shared" ca="1" si="0"/>
        <v>0.11475409836065574</v>
      </c>
    </row>
    <row r="21" spans="1:5" x14ac:dyDescent="0.35">
      <c r="A21" s="20">
        <f ca="1"/>
        <v>34</v>
      </c>
      <c r="B21" t="str">
        <f ca="1"/>
        <v>Heijne &amp; Werner, 2010</v>
      </c>
      <c r="C21" s="20">
        <f ca="1"/>
        <v>29</v>
      </c>
      <c r="D21" s="20">
        <f ca="1"/>
        <v>8</v>
      </c>
      <c r="E21" s="23">
        <f t="shared" ca="1" si="0"/>
        <v>0.28813559322033899</v>
      </c>
    </row>
    <row r="22" spans="1:5" x14ac:dyDescent="0.35">
      <c r="A22" s="20">
        <f ca="1"/>
        <v>36</v>
      </c>
      <c r="B22" t="str">
        <f ca="1"/>
        <v>Horstmann et al., 2022</v>
      </c>
      <c r="C22" s="20">
        <f ca="1"/>
        <v>26</v>
      </c>
      <c r="D22" s="20">
        <f ca="1"/>
        <v>0</v>
      </c>
      <c r="E22" s="23">
        <f t="shared" ca="1" si="0"/>
        <v>1.8867924528301886E-2</v>
      </c>
    </row>
    <row r="23" spans="1:5" x14ac:dyDescent="0.35">
      <c r="A23" s="20">
        <f ca="1"/>
        <v>36</v>
      </c>
      <c r="B23" t="str">
        <f ca="1"/>
        <v>Horstmann et al., 2022</v>
      </c>
      <c r="C23" s="20">
        <f ca="1"/>
        <v>23</v>
      </c>
      <c r="D23" s="20">
        <f ca="1"/>
        <v>0</v>
      </c>
      <c r="E23" s="23">
        <f t="shared" ca="1" si="0"/>
        <v>2.1276595744680851E-2</v>
      </c>
    </row>
    <row r="24" spans="1:5" x14ac:dyDescent="0.35">
      <c r="A24" s="20">
        <f ca="1"/>
        <v>37</v>
      </c>
      <c r="B24" t="str">
        <f ca="1"/>
        <v>Ibrahim et al., 2005</v>
      </c>
      <c r="C24" s="20">
        <f ca="1"/>
        <v>40</v>
      </c>
      <c r="D24" s="20">
        <f ca="1"/>
        <v>5</v>
      </c>
      <c r="E24" s="23">
        <f t="shared" ca="1" si="0"/>
        <v>0.13580246913580246</v>
      </c>
    </row>
    <row r="25" spans="1:5" x14ac:dyDescent="0.35">
      <c r="A25" s="20">
        <f ca="1"/>
        <v>37</v>
      </c>
      <c r="B25" t="str">
        <f ca="1"/>
        <v>Ibrahim et al., 2005</v>
      </c>
      <c r="C25" s="20">
        <f ca="1"/>
        <v>45</v>
      </c>
      <c r="D25" s="20">
        <f ca="1"/>
        <v>8</v>
      </c>
      <c r="E25" s="23">
        <f t="shared" ca="1" si="0"/>
        <v>0.18681318681318682</v>
      </c>
    </row>
    <row r="26" spans="1:5" x14ac:dyDescent="0.35">
      <c r="A26" s="20">
        <f ca="1"/>
        <v>41</v>
      </c>
      <c r="B26" t="str">
        <f ca="1"/>
        <v>Jansson et al., 2003</v>
      </c>
      <c r="C26" s="20">
        <f ca="1"/>
        <v>43</v>
      </c>
      <c r="D26" s="20">
        <f ca="1"/>
        <v>3</v>
      </c>
      <c r="E26" s="23">
        <f t="shared" ca="1" si="0"/>
        <v>8.0459770114942528E-2</v>
      </c>
    </row>
    <row r="27" spans="1:5" x14ac:dyDescent="0.35">
      <c r="A27" s="20">
        <f ca="1"/>
        <v>41</v>
      </c>
      <c r="B27" t="str">
        <f ca="1"/>
        <v>Jansson et al., 2003</v>
      </c>
      <c r="C27" s="20">
        <f ca="1"/>
        <v>46</v>
      </c>
      <c r="D27" s="20">
        <f ca="1"/>
        <v>3</v>
      </c>
      <c r="E27" s="23">
        <f t="shared" ca="1" si="0"/>
        <v>7.5268817204301078E-2</v>
      </c>
    </row>
    <row r="28" spans="1:5" x14ac:dyDescent="0.35">
      <c r="A28" s="20">
        <f ca="1"/>
        <v>46</v>
      </c>
      <c r="B28" t="str">
        <f ca="1"/>
        <v>Laoruengthana et al., 2009</v>
      </c>
      <c r="C28" s="20">
        <f ca="1"/>
        <v>15</v>
      </c>
      <c r="D28" s="20">
        <f ca="1"/>
        <v>2</v>
      </c>
      <c r="E28" s="23">
        <f t="shared" ca="1" si="0"/>
        <v>0.16129032258064516</v>
      </c>
    </row>
    <row r="29" spans="1:5" x14ac:dyDescent="0.35">
      <c r="A29" s="20">
        <f ca="1"/>
        <v>46</v>
      </c>
      <c r="B29" t="str">
        <f ca="1"/>
        <v>Laoruengthana et al., 2009</v>
      </c>
      <c r="C29" s="20">
        <f ca="1"/>
        <v>13</v>
      </c>
      <c r="D29" s="20">
        <f ca="1"/>
        <v>2</v>
      </c>
      <c r="E29" s="23">
        <f t="shared" ca="1" si="0"/>
        <v>0.18518518518518517</v>
      </c>
    </row>
    <row r="30" spans="1:5" x14ac:dyDescent="0.35">
      <c r="A30" s="20">
        <f ca="1"/>
        <v>47</v>
      </c>
      <c r="B30" t="str">
        <f ca="1"/>
        <v>Lawhorn et al., 2012</v>
      </c>
      <c r="C30" s="20">
        <f ca="1"/>
        <v>48</v>
      </c>
      <c r="D30" s="20">
        <f ca="1"/>
        <v>6</v>
      </c>
      <c r="E30" s="23">
        <f t="shared" ca="1" si="0"/>
        <v>0.13402061855670103</v>
      </c>
    </row>
    <row r="31" spans="1:5" x14ac:dyDescent="0.35">
      <c r="A31" s="20">
        <f ca="1"/>
        <v>47</v>
      </c>
      <c r="B31" t="str">
        <f ca="1"/>
        <v>Lawhorn et al., 2012</v>
      </c>
      <c r="C31" s="20">
        <f ca="1"/>
        <v>44</v>
      </c>
      <c r="D31" s="20">
        <f ca="1"/>
        <v>4</v>
      </c>
      <c r="E31" s="23">
        <f t="shared" ca="1" si="0"/>
        <v>0.10112359550561797</v>
      </c>
    </row>
    <row r="32" spans="1:5" x14ac:dyDescent="0.35">
      <c r="A32" s="20">
        <f ca="1"/>
        <v>51</v>
      </c>
      <c r="B32" t="str">
        <f ca="1"/>
        <v>Li et al., 2015</v>
      </c>
      <c r="C32" s="20">
        <f ca="1"/>
        <v>32</v>
      </c>
      <c r="D32" s="20">
        <f ca="1"/>
        <v>4</v>
      </c>
      <c r="E32" s="23">
        <f t="shared" ca="1" si="0"/>
        <v>0.13846153846153847</v>
      </c>
    </row>
    <row r="33" spans="1:5" x14ac:dyDescent="0.35">
      <c r="A33" s="20">
        <f ca="1"/>
        <v>51</v>
      </c>
      <c r="B33" t="str">
        <f ca="1"/>
        <v>Li et al., 2015</v>
      </c>
      <c r="C33" s="20">
        <f ca="1"/>
        <v>32</v>
      </c>
      <c r="D33" s="20">
        <f ca="1"/>
        <v>9</v>
      </c>
      <c r="E33" s="23">
        <f t="shared" ca="1" si="0"/>
        <v>0.29230769230769232</v>
      </c>
    </row>
    <row r="34" spans="1:5" x14ac:dyDescent="0.35">
      <c r="A34" s="20">
        <f ca="1"/>
        <v>53</v>
      </c>
      <c r="B34" t="str">
        <f ca="1"/>
        <v>Lind et al., 2020</v>
      </c>
      <c r="C34" s="20">
        <f ca="1"/>
        <v>49</v>
      </c>
      <c r="D34" s="20">
        <f ca="1"/>
        <v>11</v>
      </c>
      <c r="E34" s="23">
        <f t="shared" ca="1" si="0"/>
        <v>0.23232323232323232</v>
      </c>
    </row>
    <row r="35" spans="1:5" x14ac:dyDescent="0.35">
      <c r="A35" s="20">
        <f ca="1"/>
        <v>53</v>
      </c>
      <c r="B35" t="str">
        <f ca="1"/>
        <v>Lind et al., 2020</v>
      </c>
      <c r="C35" s="20">
        <f ca="1"/>
        <v>47</v>
      </c>
      <c r="D35" s="20">
        <f ca="1"/>
        <v>8</v>
      </c>
      <c r="E35" s="23">
        <f t="shared" ca="1" si="0"/>
        <v>0.17894736842105263</v>
      </c>
    </row>
    <row r="36" spans="1:5" x14ac:dyDescent="0.35">
      <c r="A36" s="20">
        <f ca="1"/>
        <v>54</v>
      </c>
      <c r="B36" t="str">
        <f ca="1"/>
        <v>Lucidi et al., 2025</v>
      </c>
      <c r="C36" s="20">
        <f ca="1"/>
        <v>19</v>
      </c>
      <c r="D36" s="20">
        <f ca="1"/>
        <v>7</v>
      </c>
      <c r="E36" s="23">
        <f t="shared" ca="1" si="0"/>
        <v>0.38461538461538464</v>
      </c>
    </row>
    <row r="37" spans="1:5" x14ac:dyDescent="0.35">
      <c r="A37" s="20">
        <f ca="1"/>
        <v>54</v>
      </c>
      <c r="B37" t="str">
        <f ca="1"/>
        <v>Lucidi et al., 2025</v>
      </c>
      <c r="C37" s="20">
        <f ca="1"/>
        <v>20</v>
      </c>
      <c r="D37" s="20">
        <f ca="1"/>
        <v>5</v>
      </c>
      <c r="E37" s="23">
        <f t="shared" ca="1" si="0"/>
        <v>0.26829268292682928</v>
      </c>
    </row>
    <row r="38" spans="1:5" x14ac:dyDescent="0.35">
      <c r="A38" s="20">
        <f ca="1"/>
        <v>56</v>
      </c>
      <c r="B38" t="str">
        <f ca="1"/>
        <v>Lund et al., 2014</v>
      </c>
      <c r="C38" s="20">
        <f ca="1"/>
        <v>18</v>
      </c>
      <c r="D38" s="20">
        <f ca="1"/>
        <v>3</v>
      </c>
      <c r="E38" s="23">
        <f t="shared" ca="1" si="0"/>
        <v>0.1891891891891892</v>
      </c>
    </row>
    <row r="39" spans="1:5" x14ac:dyDescent="0.35">
      <c r="A39" s="20">
        <f ca="1"/>
        <v>56</v>
      </c>
      <c r="B39" t="str">
        <f ca="1"/>
        <v>Lund et al., 2014</v>
      </c>
      <c r="C39" s="20">
        <f ca="1"/>
        <v>21</v>
      </c>
      <c r="D39" s="20">
        <f ca="1"/>
        <v>8</v>
      </c>
      <c r="E39" s="23">
        <f t="shared" ca="1" si="0"/>
        <v>0.39534883720930231</v>
      </c>
    </row>
    <row r="40" spans="1:5" x14ac:dyDescent="0.35">
      <c r="A40" s="20">
        <f ca="1"/>
        <v>58</v>
      </c>
      <c r="B40" t="str">
        <f ca="1"/>
        <v>Malik et al., 2026</v>
      </c>
      <c r="C40" s="20">
        <f ca="1"/>
        <v>25</v>
      </c>
      <c r="D40" s="20">
        <f ca="1"/>
        <v>4</v>
      </c>
      <c r="E40" s="23">
        <f t="shared" ca="1" si="0"/>
        <v>0.17647058823529413</v>
      </c>
    </row>
    <row r="41" spans="1:5" x14ac:dyDescent="0.35">
      <c r="A41" s="20">
        <f ca="1"/>
        <v>58</v>
      </c>
      <c r="B41" t="str">
        <f ca="1"/>
        <v>Malik et al., 2026</v>
      </c>
      <c r="C41" s="20">
        <f ca="1"/>
        <v>25</v>
      </c>
      <c r="D41" s="20">
        <f ca="1"/>
        <v>3</v>
      </c>
      <c r="E41" s="23">
        <f t="shared" ca="1" si="0"/>
        <v>0.13725490196078433</v>
      </c>
    </row>
    <row r="42" spans="1:5" x14ac:dyDescent="0.35">
      <c r="A42" s="20">
        <f ca="1"/>
        <v>70</v>
      </c>
      <c r="B42" t="str">
        <f ca="1"/>
        <v>Noh et al., 2011</v>
      </c>
      <c r="C42" s="20">
        <f ca="1"/>
        <v>33</v>
      </c>
      <c r="D42" s="20">
        <f ca="1"/>
        <v>6</v>
      </c>
      <c r="E42" s="23">
        <f t="shared" ca="1" si="0"/>
        <v>0.19402985074626866</v>
      </c>
    </row>
    <row r="43" spans="1:5" x14ac:dyDescent="0.35">
      <c r="A43" s="20">
        <f ca="1"/>
        <v>70</v>
      </c>
      <c r="B43" t="str">
        <f ca="1"/>
        <v>Noh et al., 2011</v>
      </c>
      <c r="C43" s="20">
        <f ca="1"/>
        <v>32</v>
      </c>
      <c r="D43" s="20">
        <f ca="1"/>
        <v>6</v>
      </c>
      <c r="E43" s="23">
        <f t="shared" ca="1" si="0"/>
        <v>0.2</v>
      </c>
    </row>
    <row r="44" spans="1:5" x14ac:dyDescent="0.35">
      <c r="A44" s="20">
        <f ca="1"/>
        <v>76</v>
      </c>
      <c r="B44" t="str">
        <f ca="1"/>
        <v>Pinczewski et al., 2007</v>
      </c>
      <c r="C44" s="20">
        <f ca="1"/>
        <v>53</v>
      </c>
      <c r="D44" s="20">
        <f ca="1"/>
        <v>5</v>
      </c>
      <c r="E44" s="23">
        <f t="shared" ca="1" si="0"/>
        <v>0.10280373831775701</v>
      </c>
    </row>
    <row r="45" spans="1:5" x14ac:dyDescent="0.35">
      <c r="A45" s="20">
        <f ca="1"/>
        <v>76</v>
      </c>
      <c r="B45" t="str">
        <f ca="1"/>
        <v>Pinczewski et al., 2007</v>
      </c>
      <c r="C45" s="20">
        <f ca="1"/>
        <v>58</v>
      </c>
      <c r="D45" s="20">
        <f ca="1"/>
        <v>8</v>
      </c>
      <c r="E45" s="23">
        <f t="shared" ca="1" si="0"/>
        <v>0.14529914529914531</v>
      </c>
    </row>
    <row r="46" spans="1:5" x14ac:dyDescent="0.35">
      <c r="A46" s="20">
        <f ca="1"/>
        <v>77</v>
      </c>
      <c r="B46" t="str">
        <f ca="1"/>
        <v>Popovic et al., 2024</v>
      </c>
      <c r="C46" s="20">
        <f ca="1"/>
        <v>38</v>
      </c>
      <c r="D46" s="20">
        <f ca="1"/>
        <v>3</v>
      </c>
      <c r="E46" s="23">
        <f t="shared" ca="1" si="0"/>
        <v>9.0909090909090912E-2</v>
      </c>
    </row>
    <row r="47" spans="1:5" x14ac:dyDescent="0.35">
      <c r="A47" s="20">
        <f ca="1"/>
        <v>77</v>
      </c>
      <c r="B47" t="str">
        <f ca="1"/>
        <v>Popovic et al., 2024</v>
      </c>
      <c r="C47" s="20">
        <f ca="1"/>
        <v>33</v>
      </c>
      <c r="D47" s="20">
        <f ca="1"/>
        <v>0</v>
      </c>
      <c r="E47" s="23">
        <f t="shared" ca="1" si="0"/>
        <v>1.4925373134328358E-2</v>
      </c>
    </row>
    <row r="48" spans="1:5" x14ac:dyDescent="0.35">
      <c r="A48" s="20">
        <f ca="1"/>
        <v>82</v>
      </c>
      <c r="B48" t="str">
        <f ca="1"/>
        <v>Sajovic et al., 2018</v>
      </c>
      <c r="C48" s="20">
        <f ca="1"/>
        <v>24</v>
      </c>
      <c r="D48" s="20">
        <f ca="1"/>
        <v>6</v>
      </c>
      <c r="E48" s="23">
        <f t="shared" ca="1" si="0"/>
        <v>0.26530612244897961</v>
      </c>
    </row>
    <row r="49" spans="1:5" x14ac:dyDescent="0.35">
      <c r="A49" s="20">
        <f ca="1"/>
        <v>82</v>
      </c>
      <c r="B49" t="str">
        <f ca="1"/>
        <v>Sajovic et al., 2018</v>
      </c>
      <c r="C49" s="20">
        <f ca="1"/>
        <v>24</v>
      </c>
      <c r="D49" s="20">
        <f ca="1"/>
        <v>5</v>
      </c>
      <c r="E49" s="23">
        <f t="shared" ca="1" si="0"/>
        <v>0.22448979591836735</v>
      </c>
    </row>
    <row r="50" spans="1:5" x14ac:dyDescent="0.35">
      <c r="A50" s="20">
        <f ca="1"/>
        <v>97</v>
      </c>
      <c r="B50" t="str">
        <f ca="1"/>
        <v>Yadav et al., 2025</v>
      </c>
      <c r="C50" s="20">
        <f ca="1"/>
        <v>36</v>
      </c>
      <c r="D50" s="20">
        <f ca="1"/>
        <v>5</v>
      </c>
      <c r="E50" s="23">
        <f t="shared" ca="1" si="0"/>
        <v>0.15068493150684931</v>
      </c>
    </row>
    <row r="51" spans="1:5" x14ac:dyDescent="0.35">
      <c r="A51" s="20">
        <f ca="1"/>
        <v>97</v>
      </c>
      <c r="B51" t="str">
        <f ca="1"/>
        <v>Yadav et al., 2025</v>
      </c>
      <c r="C51" s="20">
        <f ca="1"/>
        <v>33</v>
      </c>
      <c r="D51" s="20">
        <f ca="1"/>
        <v>0</v>
      </c>
      <c r="E51" s="23">
        <f t="shared" ca="1" si="0"/>
        <v>1.4925373134328358E-2</v>
      </c>
    </row>
    <row r="52" spans="1:5" x14ac:dyDescent="0.35">
      <c r="A52" s="20">
        <f ca="1"/>
        <v>98</v>
      </c>
      <c r="B52" t="str">
        <f ca="1"/>
        <v>Yoo et al., 2017</v>
      </c>
      <c r="C52" s="20">
        <f ca="1"/>
        <v>68</v>
      </c>
      <c r="D52" s="20">
        <f ca="1"/>
        <v>2</v>
      </c>
      <c r="E52" s="23">
        <f t="shared" ca="1" si="0"/>
        <v>3.6496350364963501E-2</v>
      </c>
    </row>
    <row r="53" spans="1:5" x14ac:dyDescent="0.35">
      <c r="A53" s="20">
        <f ca="1"/>
        <v>98</v>
      </c>
      <c r="B53" t="str">
        <f ca="1"/>
        <v>Yoo et al., 2017</v>
      </c>
      <c r="C53" s="20">
        <f ca="1"/>
        <v>64</v>
      </c>
      <c r="D53" s="20">
        <f ca="1"/>
        <v>3</v>
      </c>
      <c r="E53" s="23">
        <f t="shared" ca="1" si="0"/>
        <v>5.4263565891472867E-2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2183B-4445-4CD1-A780-EA547562D985}">
  <dimension ref="A1:K53"/>
  <sheetViews>
    <sheetView tabSelected="1" workbookViewId="0">
      <selection activeCell="D18" sqref="D18"/>
    </sheetView>
  </sheetViews>
  <sheetFormatPr defaultRowHeight="14.5" x14ac:dyDescent="0.35"/>
  <cols>
    <col min="1" max="1" width="2.81640625" style="20" bestFit="1" customWidth="1"/>
    <col min="2" max="2" width="22.453125" bestFit="1" customWidth="1"/>
    <col min="3" max="3" width="10.36328125" style="20" bestFit="1" customWidth="1"/>
    <col min="4" max="7" width="2.81640625" style="20" bestFit="1" customWidth="1"/>
    <col min="8" max="8" width="9.08984375" style="25" bestFit="1" customWidth="1"/>
    <col min="9" max="9" width="11.81640625" style="24" bestFit="1" customWidth="1"/>
    <col min="10" max="10" width="9.08984375" style="20" bestFit="1" customWidth="1"/>
    <col min="11" max="11" width="11.81640625" style="20" bestFit="1" customWidth="1"/>
    <col min="12" max="16384" width="8.7265625" style="20"/>
  </cols>
  <sheetData>
    <row r="1" spans="1:11" x14ac:dyDescent="0.35">
      <c r="A1" s="20" t="s">
        <v>73</v>
      </c>
      <c r="B1" t="s">
        <v>74</v>
      </c>
      <c r="C1" s="20" t="s">
        <v>78</v>
      </c>
      <c r="D1" s="20">
        <v>0</v>
      </c>
      <c r="E1" s="20" t="s">
        <v>92</v>
      </c>
      <c r="F1" s="20" t="s">
        <v>93</v>
      </c>
      <c r="G1" s="20" t="s">
        <v>94</v>
      </c>
      <c r="H1" s="20" t="s">
        <v>95</v>
      </c>
      <c r="I1" s="26" t="s">
        <v>96</v>
      </c>
      <c r="J1" s="20" t="s">
        <v>97</v>
      </c>
      <c r="K1" s="20" t="s">
        <v>98</v>
      </c>
    </row>
    <row r="2" spans="1:11" x14ac:dyDescent="0.35">
      <c r="A2" s="20" cm="1">
        <f t="array" aca="1" ref="A2:A53" ca="1">IF(A$1&lt;&gt;"",_xlfn._xlws.FILTER(INDIRECT(SUBSTITUTE(A$1, " ","_")),Outcome="pivot shift",""),"")</f>
        <v>2</v>
      </c>
      <c r="B2" s="22" t="str" cm="1">
        <f t="array" aca="1" ref="B2:B53" ca="1">IF(B$1&lt;&gt;"",_xlfn._xlws.FILTER(INDIRECT(SUBSTITUTE(B$1, " ","_")),Outcome="pivot shift",""),"")</f>
        <v>Aglietti et al., 2004</v>
      </c>
      <c r="C2" s="20" cm="1">
        <f t="array" aca="1" ref="C2:C53" ca="1">IF(C$1&lt;&gt;"",_xlfn._xlws.FILTER(INDIRECT(SUBSTITUTE(C$1, " ","_")),Outcome="pivot shift",""),"")</f>
        <v>60</v>
      </c>
      <c r="D2" s="20">
        <v>60</v>
      </c>
      <c r="H2" s="25">
        <v>0</v>
      </c>
      <c r="I2" s="24">
        <v>8.2644628099173556E-3</v>
      </c>
      <c r="K2" s="23"/>
    </row>
    <row r="3" spans="1:11" x14ac:dyDescent="0.35">
      <c r="A3" s="20">
        <f ca="1"/>
        <v>2</v>
      </c>
      <c r="B3" t="str">
        <f ca="1"/>
        <v>Aglietti et al., 2004</v>
      </c>
      <c r="C3" s="20">
        <f ca="1"/>
        <v>60</v>
      </c>
      <c r="D3" s="20">
        <v>60</v>
      </c>
      <c r="H3" s="25">
        <v>0</v>
      </c>
      <c r="I3" s="24">
        <v>8.2644628099173556E-3</v>
      </c>
      <c r="K3" s="23">
        <f ca="1">(J3+0.5)/(C3+0.5)</f>
        <v>8.2644628099173556E-3</v>
      </c>
    </row>
    <row r="4" spans="1:11" x14ac:dyDescent="0.35">
      <c r="A4" s="20">
        <f ca="1"/>
        <v>5</v>
      </c>
      <c r="B4" t="str">
        <f ca="1"/>
        <v>Anderson et al., 2001</v>
      </c>
      <c r="C4" s="20">
        <f ca="1"/>
        <v>35</v>
      </c>
      <c r="D4" s="20">
        <v>28</v>
      </c>
      <c r="H4" s="25">
        <v>7</v>
      </c>
      <c r="I4" s="24">
        <v>1.4084507042253521E-2</v>
      </c>
      <c r="K4" s="23">
        <f ca="1">(J4+0.5)/(C4+0.5)</f>
        <v>1.4084507042253521E-2</v>
      </c>
    </row>
    <row r="5" spans="1:11" x14ac:dyDescent="0.35">
      <c r="A5" s="20">
        <f ca="1"/>
        <v>5</v>
      </c>
      <c r="B5" t="str">
        <f ca="1"/>
        <v>Anderson et al., 2001</v>
      </c>
      <c r="C5" s="20">
        <f ca="1"/>
        <v>33</v>
      </c>
      <c r="D5" s="20">
        <v>25</v>
      </c>
      <c r="H5" s="25">
        <v>8</v>
      </c>
      <c r="I5" s="24">
        <v>1.4925373134328358E-2</v>
      </c>
      <c r="K5" s="23">
        <f ca="1">(J5+0.5)/(C5+0.5)</f>
        <v>1.4925373134328358E-2</v>
      </c>
    </row>
    <row r="6" spans="1:11" x14ac:dyDescent="0.35">
      <c r="A6" s="20">
        <f ca="1"/>
        <v>11</v>
      </c>
      <c r="B6" t="str">
        <f ca="1"/>
        <v>Beynnon et al., 2002</v>
      </c>
      <c r="C6" s="20">
        <f ca="1"/>
        <v>22</v>
      </c>
      <c r="D6" s="20">
        <v>22</v>
      </c>
      <c r="H6" s="25">
        <v>0</v>
      </c>
      <c r="I6" s="24">
        <v>2.2222222222222223E-2</v>
      </c>
      <c r="K6" s="23">
        <f ca="1">(J6+0.5)/(C6+0.5)</f>
        <v>2.2222222222222223E-2</v>
      </c>
    </row>
    <row r="7" spans="1:11" x14ac:dyDescent="0.35">
      <c r="A7" s="20">
        <f ca="1"/>
        <v>11</v>
      </c>
      <c r="B7" t="str">
        <f ca="1"/>
        <v>Beynnon et al., 2002</v>
      </c>
      <c r="C7" s="20">
        <f ca="1"/>
        <v>22</v>
      </c>
      <c r="D7" s="20">
        <v>16</v>
      </c>
      <c r="H7" s="25">
        <v>6</v>
      </c>
      <c r="I7" s="24">
        <v>2.2222222222222223E-2</v>
      </c>
      <c r="K7" s="23">
        <f ca="1">(J7+0.5)/(C7+0.5)</f>
        <v>2.2222222222222223E-2</v>
      </c>
    </row>
    <row r="8" spans="1:11" x14ac:dyDescent="0.35">
      <c r="A8" s="20">
        <f ca="1"/>
        <v>12</v>
      </c>
      <c r="B8" t="str">
        <f ca="1"/>
        <v>Bi et al., 2018</v>
      </c>
      <c r="C8" s="20">
        <f ca="1"/>
        <v>62</v>
      </c>
      <c r="D8" s="20">
        <v>62</v>
      </c>
      <c r="H8" s="25">
        <v>0</v>
      </c>
      <c r="I8" s="24">
        <v>8.0000000000000002E-3</v>
      </c>
      <c r="K8" s="23">
        <f ca="1">(J8+0.5)/(C8+0.5)</f>
        <v>8.0000000000000002E-3</v>
      </c>
    </row>
    <row r="9" spans="1:11" x14ac:dyDescent="0.35">
      <c r="A9" s="20">
        <f ca="1"/>
        <v>12</v>
      </c>
      <c r="B9" t="str">
        <f ca="1"/>
        <v>Bi et al., 2018</v>
      </c>
      <c r="C9" s="20">
        <f ca="1"/>
        <v>62</v>
      </c>
      <c r="D9" s="20">
        <v>62</v>
      </c>
      <c r="H9" s="25">
        <v>0</v>
      </c>
      <c r="I9" s="24">
        <v>8.0000000000000002E-3</v>
      </c>
      <c r="K9" s="23">
        <f ca="1">(J9+0.5)/(C9+0.5)</f>
        <v>8.0000000000000002E-3</v>
      </c>
    </row>
    <row r="10" spans="1:11" x14ac:dyDescent="0.35">
      <c r="A10" s="20">
        <f ca="1"/>
        <v>13</v>
      </c>
      <c r="B10" t="str">
        <f ca="1"/>
        <v>Björnsson et al., 2016</v>
      </c>
      <c r="C10" s="20">
        <f ca="1"/>
        <v>61</v>
      </c>
      <c r="D10" s="20">
        <v>49</v>
      </c>
      <c r="H10" s="25">
        <v>12</v>
      </c>
      <c r="I10" s="24">
        <v>8.130081300813009E-3</v>
      </c>
      <c r="K10" s="23">
        <f ca="1">(J10+0.5)/(C10+0.5)</f>
        <v>8.130081300813009E-3</v>
      </c>
    </row>
    <row r="11" spans="1:11" x14ac:dyDescent="0.35">
      <c r="A11" s="20">
        <f ca="1"/>
        <v>13</v>
      </c>
      <c r="B11" t="str">
        <f ca="1"/>
        <v>Björnsson et al., 2016</v>
      </c>
      <c r="C11" s="20">
        <f ca="1"/>
        <v>86</v>
      </c>
      <c r="D11" s="20">
        <v>73</v>
      </c>
      <c r="H11" s="25">
        <v>13</v>
      </c>
      <c r="I11" s="24">
        <v>5.7803468208092483E-3</v>
      </c>
      <c r="K11" s="23">
        <f ca="1">(J11+0.5)/(C11+0.5)</f>
        <v>5.7803468208092483E-3</v>
      </c>
    </row>
    <row r="12" spans="1:11" x14ac:dyDescent="0.35">
      <c r="A12" s="20">
        <f ca="1"/>
        <v>25</v>
      </c>
      <c r="B12" t="str">
        <f ca="1"/>
        <v>Eriksson et al., 2006</v>
      </c>
      <c r="C12" s="20">
        <f ca="1"/>
        <v>42</v>
      </c>
      <c r="D12" s="20">
        <v>40</v>
      </c>
      <c r="H12" s="25">
        <v>2</v>
      </c>
      <c r="I12" s="24">
        <v>1.1764705882352941E-2</v>
      </c>
      <c r="K12" s="23">
        <f ca="1">(J12+0.5)/(C12+0.5)</f>
        <v>1.1764705882352941E-2</v>
      </c>
    </row>
    <row r="13" spans="1:11" x14ac:dyDescent="0.35">
      <c r="A13" s="20">
        <f ca="1"/>
        <v>25</v>
      </c>
      <c r="B13" t="str">
        <f ca="1"/>
        <v>Eriksson et al., 2006</v>
      </c>
      <c r="C13" s="20">
        <f ca="1"/>
        <v>47</v>
      </c>
      <c r="D13" s="20">
        <v>38</v>
      </c>
      <c r="H13" s="25">
        <v>9</v>
      </c>
      <c r="I13" s="24">
        <v>1.0526315789473684E-2</v>
      </c>
      <c r="K13" s="23">
        <f ca="1">(J13+0.5)/(C13+0.5)</f>
        <v>1.0526315789473684E-2</v>
      </c>
    </row>
    <row r="14" spans="1:11" x14ac:dyDescent="0.35">
      <c r="A14" s="20">
        <f ca="1"/>
        <v>26</v>
      </c>
      <c r="B14" t="str">
        <f ca="1"/>
        <v>Feller &amp; Webster, 2003</v>
      </c>
      <c r="C14" s="20">
        <f ca="1"/>
        <v>27</v>
      </c>
      <c r="D14" s="20">
        <v>27</v>
      </c>
      <c r="H14" s="25">
        <v>0</v>
      </c>
      <c r="I14" s="24">
        <v>1.8181818181818181E-2</v>
      </c>
      <c r="K14" s="23">
        <f ca="1">(J14+0.5)/(C14+0.5)</f>
        <v>1.8181818181818181E-2</v>
      </c>
    </row>
    <row r="15" spans="1:11" x14ac:dyDescent="0.35">
      <c r="A15" s="20">
        <f ca="1"/>
        <v>26</v>
      </c>
      <c r="B15" t="str">
        <f ca="1"/>
        <v>Feller &amp; Webster, 2003</v>
      </c>
      <c r="C15" s="20">
        <f ca="1"/>
        <v>21</v>
      </c>
      <c r="D15" s="20">
        <v>16</v>
      </c>
      <c r="H15" s="25">
        <v>5</v>
      </c>
      <c r="I15" s="24">
        <v>2.3255813953488372E-2</v>
      </c>
      <c r="K15" s="23">
        <f ca="1">(J15+0.5)/(C15+0.5)</f>
        <v>2.3255813953488372E-2</v>
      </c>
    </row>
    <row r="16" spans="1:11" x14ac:dyDescent="0.35">
      <c r="A16" s="20">
        <f ca="1"/>
        <v>32</v>
      </c>
      <c r="B16" t="str">
        <f ca="1"/>
        <v>Guglielmetti et al., 2021</v>
      </c>
      <c r="C16" s="20">
        <f ca="1"/>
        <v>31</v>
      </c>
      <c r="D16" s="20">
        <v>29</v>
      </c>
      <c r="H16" s="25">
        <v>2</v>
      </c>
      <c r="I16" s="24">
        <v>1.5873015873015872E-2</v>
      </c>
      <c r="K16" s="23">
        <f ca="1">(J16+0.5)/(C16+0.5)</f>
        <v>1.5873015873015872E-2</v>
      </c>
    </row>
    <row r="17" spans="1:11" x14ac:dyDescent="0.35">
      <c r="A17" s="20">
        <f ca="1"/>
        <v>32</v>
      </c>
      <c r="B17" t="str">
        <f ca="1"/>
        <v>Guglielmetti et al., 2021</v>
      </c>
      <c r="C17" s="20">
        <f ca="1"/>
        <v>31</v>
      </c>
      <c r="D17" s="20">
        <v>28</v>
      </c>
      <c r="H17" s="25">
        <v>3</v>
      </c>
      <c r="I17" s="24">
        <v>1.5873015873015872E-2</v>
      </c>
      <c r="K17" s="23">
        <f ca="1">(J17+0.5)/(C17+0.5)</f>
        <v>1.5873015873015872E-2</v>
      </c>
    </row>
    <row r="18" spans="1:11" x14ac:dyDescent="0.35">
      <c r="A18" s="20">
        <f ca="1"/>
        <v>33</v>
      </c>
      <c r="B18" t="str">
        <f ca="1"/>
        <v>Harilainen et al., 2006</v>
      </c>
      <c r="C18" s="20">
        <f ca="1"/>
        <v>37</v>
      </c>
      <c r="D18" s="20">
        <v>37</v>
      </c>
      <c r="H18" s="25">
        <v>0</v>
      </c>
      <c r="I18" s="24">
        <v>1.3333333333333334E-2</v>
      </c>
      <c r="K18" s="23">
        <f ca="1">(J18+0.5)/(C18+0.5)</f>
        <v>1.3333333333333334E-2</v>
      </c>
    </row>
    <row r="19" spans="1:11" x14ac:dyDescent="0.35">
      <c r="A19" s="20">
        <f ca="1"/>
        <v>33</v>
      </c>
      <c r="B19" t="str">
        <f ca="1"/>
        <v>Harilainen et al., 2006</v>
      </c>
      <c r="C19" s="20">
        <f ca="1"/>
        <v>37</v>
      </c>
      <c r="D19" s="20">
        <v>36</v>
      </c>
      <c r="H19" s="25">
        <v>1</v>
      </c>
      <c r="I19" s="24">
        <v>1.3333333333333334E-2</v>
      </c>
      <c r="K19" s="23">
        <f ca="1">(J19+0.5)/(C19+0.5)</f>
        <v>1.3333333333333334E-2</v>
      </c>
    </row>
    <row r="20" spans="1:11" x14ac:dyDescent="0.35">
      <c r="A20" s="20">
        <f ca="1"/>
        <v>34</v>
      </c>
      <c r="B20" t="str">
        <f ca="1"/>
        <v>Heijne &amp; Werner, 2010</v>
      </c>
      <c r="C20" s="20">
        <f ca="1"/>
        <v>30</v>
      </c>
      <c r="D20" s="20">
        <v>27</v>
      </c>
      <c r="H20" s="25">
        <v>3</v>
      </c>
      <c r="I20" s="24">
        <v>1.6393442622950821E-2</v>
      </c>
      <c r="K20" s="23">
        <f ca="1">(J20+0.5)/(C20+0.5)</f>
        <v>1.6393442622950821E-2</v>
      </c>
    </row>
    <row r="21" spans="1:11" x14ac:dyDescent="0.35">
      <c r="A21" s="20">
        <f ca="1"/>
        <v>34</v>
      </c>
      <c r="B21" t="str">
        <f ca="1"/>
        <v>Heijne &amp; Werner, 2010</v>
      </c>
      <c r="C21" s="20">
        <f ca="1"/>
        <v>29</v>
      </c>
      <c r="D21" s="20">
        <v>21</v>
      </c>
      <c r="H21" s="25">
        <v>8</v>
      </c>
      <c r="I21" s="24">
        <v>1.6949152542372881E-2</v>
      </c>
      <c r="K21" s="23">
        <f ca="1">(J21+0.5)/(C21+0.5)</f>
        <v>1.6949152542372881E-2</v>
      </c>
    </row>
    <row r="22" spans="1:11" x14ac:dyDescent="0.35">
      <c r="A22" s="20">
        <f ca="1"/>
        <v>36</v>
      </c>
      <c r="B22" t="str">
        <f ca="1"/>
        <v>Horstmann et al., 2022</v>
      </c>
      <c r="C22" s="20">
        <f ca="1"/>
        <v>26</v>
      </c>
      <c r="D22" s="20">
        <v>26</v>
      </c>
      <c r="H22" s="25">
        <v>0</v>
      </c>
      <c r="I22" s="24">
        <v>1.8867924528301886E-2</v>
      </c>
      <c r="K22" s="23">
        <f ca="1">(J22+0.5)/(C22+0.5)</f>
        <v>1.8867924528301886E-2</v>
      </c>
    </row>
    <row r="23" spans="1:11" x14ac:dyDescent="0.35">
      <c r="A23" s="20">
        <f ca="1"/>
        <v>36</v>
      </c>
      <c r="B23" t="str">
        <f ca="1"/>
        <v>Horstmann et al., 2022</v>
      </c>
      <c r="C23" s="20">
        <f ca="1"/>
        <v>23</v>
      </c>
      <c r="D23" s="20">
        <v>23</v>
      </c>
      <c r="H23" s="25">
        <v>0</v>
      </c>
      <c r="I23" s="24">
        <v>2.1276595744680851E-2</v>
      </c>
      <c r="K23" s="23">
        <f ca="1">(J23+0.5)/(C23+0.5)</f>
        <v>2.1276595744680851E-2</v>
      </c>
    </row>
    <row r="24" spans="1:11" x14ac:dyDescent="0.35">
      <c r="A24" s="20">
        <f ca="1"/>
        <v>37</v>
      </c>
      <c r="B24" t="str">
        <f ca="1"/>
        <v>Ibrahim et al., 2005</v>
      </c>
      <c r="C24" s="20">
        <f ca="1"/>
        <v>40</v>
      </c>
      <c r="D24" s="20">
        <v>35</v>
      </c>
      <c r="H24" s="25">
        <v>5</v>
      </c>
      <c r="I24" s="24">
        <v>1.2345679012345678E-2</v>
      </c>
      <c r="K24" s="23">
        <f ca="1">(J24+0.5)/(C24+0.5)</f>
        <v>1.2345679012345678E-2</v>
      </c>
    </row>
    <row r="25" spans="1:11" x14ac:dyDescent="0.35">
      <c r="A25" s="20">
        <f ca="1"/>
        <v>37</v>
      </c>
      <c r="B25" t="str">
        <f ca="1"/>
        <v>Ibrahim et al., 2005</v>
      </c>
      <c r="C25" s="20">
        <f ca="1"/>
        <v>45</v>
      </c>
      <c r="D25" s="20">
        <v>37</v>
      </c>
      <c r="H25" s="25">
        <v>8</v>
      </c>
      <c r="I25" s="24">
        <v>1.098901098901099E-2</v>
      </c>
      <c r="K25" s="23">
        <f ca="1">(J25+0.5)/(C25+0.5)</f>
        <v>1.098901098901099E-2</v>
      </c>
    </row>
    <row r="26" spans="1:11" x14ac:dyDescent="0.35">
      <c r="A26" s="20">
        <f ca="1"/>
        <v>41</v>
      </c>
      <c r="B26" t="str">
        <f ca="1"/>
        <v>Jansson et al., 2003</v>
      </c>
      <c r="C26" s="20">
        <f ca="1"/>
        <v>43</v>
      </c>
      <c r="D26" s="20">
        <v>40</v>
      </c>
      <c r="H26" s="25">
        <v>3</v>
      </c>
      <c r="I26" s="24">
        <v>1.1494252873563218E-2</v>
      </c>
      <c r="K26" s="23">
        <f ca="1">(J26+0.5)/(C26+0.5)</f>
        <v>1.1494252873563218E-2</v>
      </c>
    </row>
    <row r="27" spans="1:11" x14ac:dyDescent="0.35">
      <c r="A27" s="20">
        <f ca="1"/>
        <v>41</v>
      </c>
      <c r="B27" t="str">
        <f ca="1"/>
        <v>Jansson et al., 2003</v>
      </c>
      <c r="C27" s="20">
        <f ca="1"/>
        <v>46</v>
      </c>
      <c r="D27" s="20">
        <v>43</v>
      </c>
      <c r="H27" s="25">
        <v>3</v>
      </c>
      <c r="I27" s="24">
        <v>1.0752688172043012E-2</v>
      </c>
      <c r="K27" s="23">
        <f ca="1">(J27+0.5)/(C27+0.5)</f>
        <v>1.0752688172043012E-2</v>
      </c>
    </row>
    <row r="28" spans="1:11" x14ac:dyDescent="0.35">
      <c r="A28" s="20">
        <f ca="1"/>
        <v>46</v>
      </c>
      <c r="B28" t="str">
        <f ca="1"/>
        <v>Laoruengthana et al., 2009</v>
      </c>
      <c r="C28" s="20">
        <f ca="1"/>
        <v>15</v>
      </c>
      <c r="D28" s="20">
        <v>13</v>
      </c>
      <c r="H28" s="25">
        <v>2</v>
      </c>
      <c r="I28" s="24">
        <v>3.2258064516129031E-2</v>
      </c>
      <c r="K28" s="23">
        <f ca="1">(J28+0.5)/(C28+0.5)</f>
        <v>3.2258064516129031E-2</v>
      </c>
    </row>
    <row r="29" spans="1:11" x14ac:dyDescent="0.35">
      <c r="A29" s="20">
        <f ca="1"/>
        <v>46</v>
      </c>
      <c r="B29" t="str">
        <f ca="1"/>
        <v>Laoruengthana et al., 2009</v>
      </c>
      <c r="C29" s="20">
        <f ca="1"/>
        <v>13</v>
      </c>
      <c r="D29" s="20">
        <v>11</v>
      </c>
      <c r="H29" s="25">
        <v>2</v>
      </c>
      <c r="I29" s="24">
        <v>3.7037037037037035E-2</v>
      </c>
      <c r="K29" s="23">
        <f ca="1">(J29+0.5)/(C29+0.5)</f>
        <v>3.7037037037037035E-2</v>
      </c>
    </row>
    <row r="30" spans="1:11" x14ac:dyDescent="0.35">
      <c r="A30" s="20">
        <f ca="1"/>
        <v>47</v>
      </c>
      <c r="B30" t="str">
        <f ca="1"/>
        <v>Lawhorn et al., 2012</v>
      </c>
      <c r="C30" s="20">
        <f ca="1"/>
        <v>48</v>
      </c>
      <c r="D30" s="20">
        <v>42</v>
      </c>
      <c r="H30" s="25">
        <v>6</v>
      </c>
      <c r="I30" s="24">
        <v>1.0309278350515464E-2</v>
      </c>
      <c r="K30" s="23">
        <f ca="1">(J30+0.5)/(C30+0.5)</f>
        <v>1.0309278350515464E-2</v>
      </c>
    </row>
    <row r="31" spans="1:11" x14ac:dyDescent="0.35">
      <c r="A31" s="20">
        <f ca="1"/>
        <v>47</v>
      </c>
      <c r="B31" t="str">
        <f ca="1"/>
        <v>Lawhorn et al., 2012</v>
      </c>
      <c r="C31" s="20">
        <f ca="1"/>
        <v>44</v>
      </c>
      <c r="D31" s="20">
        <v>40</v>
      </c>
      <c r="H31" s="25">
        <v>4</v>
      </c>
      <c r="I31" s="24">
        <v>1.1235955056179775E-2</v>
      </c>
      <c r="K31" s="23">
        <f ca="1">(J31+0.5)/(C31+0.5)</f>
        <v>1.1235955056179775E-2</v>
      </c>
    </row>
    <row r="32" spans="1:11" x14ac:dyDescent="0.35">
      <c r="A32" s="20">
        <f ca="1"/>
        <v>51</v>
      </c>
      <c r="B32" t="str">
        <f ca="1"/>
        <v>Li et al., 2015</v>
      </c>
      <c r="C32" s="20">
        <f ca="1"/>
        <v>32</v>
      </c>
      <c r="D32" s="20">
        <v>28</v>
      </c>
      <c r="H32" s="25">
        <v>4</v>
      </c>
      <c r="I32" s="24">
        <v>1.5384615384615385E-2</v>
      </c>
      <c r="K32" s="23">
        <f ca="1">(J32+0.5)/(C32+0.5)</f>
        <v>1.5384615384615385E-2</v>
      </c>
    </row>
    <row r="33" spans="1:11" x14ac:dyDescent="0.35">
      <c r="A33" s="20">
        <f ca="1"/>
        <v>51</v>
      </c>
      <c r="B33" t="str">
        <f ca="1"/>
        <v>Li et al., 2015</v>
      </c>
      <c r="C33" s="20">
        <f ca="1"/>
        <v>32</v>
      </c>
      <c r="D33" s="20">
        <v>23</v>
      </c>
      <c r="H33" s="25">
        <v>9</v>
      </c>
      <c r="I33" s="24">
        <v>1.5384615384615385E-2</v>
      </c>
      <c r="K33" s="23">
        <f ca="1">(J33+0.5)/(C33+0.5)</f>
        <v>1.5384615384615385E-2</v>
      </c>
    </row>
    <row r="34" spans="1:11" x14ac:dyDescent="0.35">
      <c r="A34" s="20">
        <f ca="1"/>
        <v>53</v>
      </c>
      <c r="B34" t="str">
        <f ca="1"/>
        <v>Lind et al., 2020</v>
      </c>
      <c r="C34" s="20">
        <f ca="1"/>
        <v>49</v>
      </c>
      <c r="D34" s="20">
        <v>38</v>
      </c>
      <c r="H34" s="25">
        <v>11</v>
      </c>
      <c r="I34" s="24">
        <v>1.0101010101010102E-2</v>
      </c>
      <c r="K34" s="23">
        <f ca="1">(J34+0.5)/(C34+0.5)</f>
        <v>1.0101010101010102E-2</v>
      </c>
    </row>
    <row r="35" spans="1:11" x14ac:dyDescent="0.35">
      <c r="A35" s="20">
        <f ca="1"/>
        <v>53</v>
      </c>
      <c r="B35" t="str">
        <f ca="1"/>
        <v>Lind et al., 2020</v>
      </c>
      <c r="C35" s="20">
        <f ca="1"/>
        <v>47</v>
      </c>
      <c r="D35" s="20">
        <v>39</v>
      </c>
      <c r="H35" s="25">
        <v>8</v>
      </c>
      <c r="I35" s="24">
        <v>1.0526315789473684E-2</v>
      </c>
      <c r="K35" s="23">
        <f ca="1">(J35+0.5)/(C35+0.5)</f>
        <v>1.0526315789473684E-2</v>
      </c>
    </row>
    <row r="36" spans="1:11" x14ac:dyDescent="0.35">
      <c r="A36" s="20">
        <f ca="1"/>
        <v>54</v>
      </c>
      <c r="B36" t="str">
        <f ca="1"/>
        <v>Lucidi et al., 2025</v>
      </c>
      <c r="C36" s="20">
        <f ca="1"/>
        <v>19</v>
      </c>
      <c r="D36" s="20">
        <v>12</v>
      </c>
      <c r="H36" s="25">
        <v>7</v>
      </c>
      <c r="I36" s="24">
        <v>2.564102564102564E-2</v>
      </c>
      <c r="K36" s="23">
        <f ca="1">(J36+0.5)/(C36+0.5)</f>
        <v>2.564102564102564E-2</v>
      </c>
    </row>
    <row r="37" spans="1:11" x14ac:dyDescent="0.35">
      <c r="A37" s="20">
        <f ca="1"/>
        <v>54</v>
      </c>
      <c r="B37" t="str">
        <f ca="1"/>
        <v>Lucidi et al., 2025</v>
      </c>
      <c r="C37" s="20">
        <f ca="1"/>
        <v>20</v>
      </c>
      <c r="D37" s="20">
        <v>15</v>
      </c>
      <c r="H37" s="25">
        <v>5</v>
      </c>
      <c r="I37" s="24">
        <v>2.4390243902439025E-2</v>
      </c>
      <c r="K37" s="23">
        <f ca="1">(J37+0.5)/(C37+0.5)</f>
        <v>2.4390243902439025E-2</v>
      </c>
    </row>
    <row r="38" spans="1:11" x14ac:dyDescent="0.35">
      <c r="A38" s="20">
        <f ca="1"/>
        <v>56</v>
      </c>
      <c r="B38" t="str">
        <f ca="1"/>
        <v>Lund et al., 2014</v>
      </c>
      <c r="C38" s="20">
        <f ca="1"/>
        <v>18</v>
      </c>
      <c r="D38" s="20">
        <v>15</v>
      </c>
      <c r="H38" s="25">
        <v>3</v>
      </c>
      <c r="I38" s="24">
        <v>2.7027027027027029E-2</v>
      </c>
      <c r="K38" s="23">
        <f ca="1">(J38+0.5)/(C38+0.5)</f>
        <v>2.7027027027027029E-2</v>
      </c>
    </row>
    <row r="39" spans="1:11" x14ac:dyDescent="0.35">
      <c r="A39" s="20">
        <f ca="1"/>
        <v>56</v>
      </c>
      <c r="B39" t="str">
        <f ca="1"/>
        <v>Lund et al., 2014</v>
      </c>
      <c r="C39" s="20">
        <f ca="1"/>
        <v>21</v>
      </c>
      <c r="D39" s="20">
        <v>13</v>
      </c>
      <c r="H39" s="25">
        <v>8</v>
      </c>
      <c r="I39" s="24">
        <v>2.3255813953488372E-2</v>
      </c>
      <c r="K39" s="23">
        <f ca="1">(J39+0.5)/(C39+0.5)</f>
        <v>2.3255813953488372E-2</v>
      </c>
    </row>
    <row r="40" spans="1:11" x14ac:dyDescent="0.35">
      <c r="A40" s="20">
        <f ca="1"/>
        <v>58</v>
      </c>
      <c r="B40" t="str">
        <f ca="1"/>
        <v>Malik et al., 2026</v>
      </c>
      <c r="C40" s="20">
        <f ca="1"/>
        <v>25</v>
      </c>
      <c r="D40" s="20">
        <v>21</v>
      </c>
      <c r="H40" s="25">
        <v>4</v>
      </c>
      <c r="I40" s="24">
        <v>1.9607843137254902E-2</v>
      </c>
      <c r="K40" s="23">
        <f ca="1">(J40+0.5)/(C40+0.5)</f>
        <v>1.9607843137254902E-2</v>
      </c>
    </row>
    <row r="41" spans="1:11" x14ac:dyDescent="0.35">
      <c r="A41" s="20">
        <f ca="1"/>
        <v>58</v>
      </c>
      <c r="B41" t="str">
        <f ca="1"/>
        <v>Malik et al., 2026</v>
      </c>
      <c r="C41" s="20">
        <f ca="1"/>
        <v>25</v>
      </c>
      <c r="D41" s="20">
        <v>22</v>
      </c>
      <c r="H41" s="25">
        <v>3</v>
      </c>
      <c r="I41" s="24">
        <v>1.9607843137254902E-2</v>
      </c>
      <c r="K41" s="23">
        <f ca="1">(J41+0.5)/(C41+0.5)</f>
        <v>1.9607843137254902E-2</v>
      </c>
    </row>
    <row r="42" spans="1:11" x14ac:dyDescent="0.35">
      <c r="A42" s="20">
        <f ca="1"/>
        <v>70</v>
      </c>
      <c r="B42" t="str">
        <f ca="1"/>
        <v>Noh et al., 2011</v>
      </c>
      <c r="C42" s="20">
        <f ca="1"/>
        <v>33</v>
      </c>
      <c r="D42" s="20">
        <v>27</v>
      </c>
      <c r="H42" s="25">
        <v>6</v>
      </c>
      <c r="I42" s="24">
        <v>1.4925373134328358E-2</v>
      </c>
      <c r="K42" s="23">
        <f ca="1">(J42+0.5)/(C42+0.5)</f>
        <v>1.4925373134328358E-2</v>
      </c>
    </row>
    <row r="43" spans="1:11" x14ac:dyDescent="0.35">
      <c r="A43" s="20">
        <f ca="1"/>
        <v>70</v>
      </c>
      <c r="B43" t="str">
        <f ca="1"/>
        <v>Noh et al., 2011</v>
      </c>
      <c r="C43" s="20">
        <f ca="1"/>
        <v>32</v>
      </c>
      <c r="D43" s="20">
        <v>26</v>
      </c>
      <c r="H43" s="25">
        <v>6</v>
      </c>
      <c r="I43" s="24">
        <v>1.5384615384615385E-2</v>
      </c>
      <c r="K43" s="23">
        <f ca="1">(J43+0.5)/(C43+0.5)</f>
        <v>1.5384615384615385E-2</v>
      </c>
    </row>
    <row r="44" spans="1:11" x14ac:dyDescent="0.35">
      <c r="A44" s="20">
        <f ca="1"/>
        <v>76</v>
      </c>
      <c r="B44" t="str">
        <f ca="1"/>
        <v>Pinczewski et al., 2007</v>
      </c>
      <c r="C44" s="20">
        <f ca="1"/>
        <v>53</v>
      </c>
      <c r="D44" s="20">
        <v>48</v>
      </c>
      <c r="H44" s="25">
        <v>5</v>
      </c>
      <c r="I44" s="24">
        <v>9.3457943925233638E-3</v>
      </c>
      <c r="K44" s="23">
        <f ca="1">(J44+0.5)/(C44+0.5)</f>
        <v>9.3457943925233638E-3</v>
      </c>
    </row>
    <row r="45" spans="1:11" x14ac:dyDescent="0.35">
      <c r="A45" s="20">
        <f ca="1"/>
        <v>76</v>
      </c>
      <c r="B45" t="str">
        <f ca="1"/>
        <v>Pinczewski et al., 2007</v>
      </c>
      <c r="C45" s="20">
        <f ca="1"/>
        <v>58</v>
      </c>
      <c r="D45" s="20">
        <v>50</v>
      </c>
      <c r="H45" s="25">
        <v>8</v>
      </c>
      <c r="I45" s="24">
        <v>8.5470085470085479E-3</v>
      </c>
      <c r="K45" s="23">
        <f ca="1">(J45+0.5)/(C45+0.5)</f>
        <v>8.5470085470085479E-3</v>
      </c>
    </row>
    <row r="46" spans="1:11" x14ac:dyDescent="0.35">
      <c r="A46" s="20">
        <f ca="1"/>
        <v>77</v>
      </c>
      <c r="B46" t="str">
        <f ca="1"/>
        <v>Popovic et al., 2024</v>
      </c>
      <c r="C46" s="20">
        <f ca="1"/>
        <v>38</v>
      </c>
      <c r="D46" s="20">
        <v>35</v>
      </c>
      <c r="H46" s="25">
        <v>3</v>
      </c>
      <c r="I46" s="24">
        <v>1.2987012987012988E-2</v>
      </c>
      <c r="K46" s="23">
        <f ca="1">(J46+0.5)/(C46+0.5)</f>
        <v>1.2987012987012988E-2</v>
      </c>
    </row>
    <row r="47" spans="1:11" x14ac:dyDescent="0.35">
      <c r="A47" s="20">
        <f ca="1"/>
        <v>77</v>
      </c>
      <c r="B47" t="str">
        <f ca="1"/>
        <v>Popovic et al., 2024</v>
      </c>
      <c r="C47" s="20">
        <f ca="1"/>
        <v>33</v>
      </c>
      <c r="D47" s="20">
        <v>33</v>
      </c>
      <c r="H47" s="25">
        <v>0</v>
      </c>
      <c r="I47" s="24">
        <v>1.4925373134328358E-2</v>
      </c>
      <c r="K47" s="23">
        <f ca="1">(J47+0.5)/(C47+0.5)</f>
        <v>1.4925373134328358E-2</v>
      </c>
    </row>
    <row r="48" spans="1:11" x14ac:dyDescent="0.35">
      <c r="A48" s="20">
        <f ca="1"/>
        <v>82</v>
      </c>
      <c r="B48" t="str">
        <f ca="1"/>
        <v>Sajovic et al., 2018</v>
      </c>
      <c r="C48" s="20">
        <f ca="1"/>
        <v>24</v>
      </c>
      <c r="D48" s="20">
        <v>18</v>
      </c>
      <c r="H48" s="25">
        <v>6</v>
      </c>
      <c r="I48" s="24">
        <v>2.0408163265306121E-2</v>
      </c>
      <c r="K48" s="23">
        <f ca="1">(J48+0.5)/(C48+0.5)</f>
        <v>2.0408163265306121E-2</v>
      </c>
    </row>
    <row r="49" spans="1:11" x14ac:dyDescent="0.35">
      <c r="A49" s="20">
        <f ca="1"/>
        <v>82</v>
      </c>
      <c r="B49" t="str">
        <f ca="1"/>
        <v>Sajovic et al., 2018</v>
      </c>
      <c r="C49" s="20">
        <f ca="1"/>
        <v>24</v>
      </c>
      <c r="D49" s="20">
        <v>19</v>
      </c>
      <c r="H49" s="25">
        <v>5</v>
      </c>
      <c r="I49" s="24">
        <v>2.0408163265306121E-2</v>
      </c>
      <c r="K49" s="23">
        <f ca="1">(J49+0.5)/(C49+0.5)</f>
        <v>2.0408163265306121E-2</v>
      </c>
    </row>
    <row r="50" spans="1:11" x14ac:dyDescent="0.35">
      <c r="A50" s="20">
        <f ca="1"/>
        <v>97</v>
      </c>
      <c r="B50" t="str">
        <f ca="1"/>
        <v>Yadav et al., 2025</v>
      </c>
      <c r="C50" s="20">
        <f ca="1"/>
        <v>36</v>
      </c>
      <c r="D50" s="20">
        <v>31</v>
      </c>
      <c r="H50" s="25">
        <v>5</v>
      </c>
      <c r="I50" s="24">
        <v>1.3698630136986301E-2</v>
      </c>
      <c r="K50" s="23">
        <f ca="1">(J50+0.5)/(C50+0.5)</f>
        <v>1.3698630136986301E-2</v>
      </c>
    </row>
    <row r="51" spans="1:11" x14ac:dyDescent="0.35">
      <c r="A51" s="20">
        <f ca="1"/>
        <v>97</v>
      </c>
      <c r="B51" t="str">
        <f ca="1"/>
        <v>Yadav et al., 2025</v>
      </c>
      <c r="C51" s="20">
        <f ca="1"/>
        <v>33</v>
      </c>
      <c r="D51" s="20">
        <v>33</v>
      </c>
      <c r="H51" s="25">
        <v>0</v>
      </c>
      <c r="I51" s="24">
        <v>1.4925373134328358E-2</v>
      </c>
      <c r="K51" s="23">
        <f ca="1">(J51+0.5)/(C51+0.5)</f>
        <v>1.4925373134328358E-2</v>
      </c>
    </row>
    <row r="52" spans="1:11" x14ac:dyDescent="0.35">
      <c r="A52" s="20">
        <f ca="1"/>
        <v>98</v>
      </c>
      <c r="B52" t="str">
        <f ca="1"/>
        <v>Yoo et al., 2017</v>
      </c>
      <c r="C52" s="20">
        <f ca="1"/>
        <v>68</v>
      </c>
      <c r="D52" s="20">
        <v>66</v>
      </c>
      <c r="H52" s="25">
        <v>2</v>
      </c>
      <c r="I52" s="24">
        <v>7.2992700729927005E-3</v>
      </c>
      <c r="K52" s="23">
        <f ca="1">(J52+0.5)/(C52+0.5)</f>
        <v>7.2992700729927005E-3</v>
      </c>
    </row>
    <row r="53" spans="1:11" x14ac:dyDescent="0.35">
      <c r="A53" s="20">
        <f ca="1"/>
        <v>98</v>
      </c>
      <c r="B53" t="str">
        <f ca="1"/>
        <v>Yoo et al., 2017</v>
      </c>
      <c r="C53" s="20">
        <f ca="1"/>
        <v>64</v>
      </c>
      <c r="D53" s="20">
        <v>61</v>
      </c>
      <c r="H53" s="25">
        <v>3</v>
      </c>
      <c r="I53" s="24">
        <v>7.7519379844961239E-3</v>
      </c>
      <c r="K53" s="23">
        <f ca="1">(J53+0.5)/(C53+0.5)</f>
        <v>7.7519379844961239E-3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BF50-DE67-45A4-8E38-1D87670D6914}">
  <dimension ref="A1"/>
  <sheetViews>
    <sheetView workbookViewId="0">
      <selection activeCell="H18" sqref="H18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18</vt:i4>
      </vt:variant>
    </vt:vector>
  </HeadingPairs>
  <TitlesOfParts>
    <vt:vector size="28" baseType="lpstr">
      <vt:lpstr>data</vt:lpstr>
      <vt:lpstr>continuous</vt:lpstr>
      <vt:lpstr>dichotomous</vt:lpstr>
      <vt:lpstr>ikdc</vt:lpstr>
      <vt:lpstr>lysholm</vt:lpstr>
      <vt:lpstr>tegner</vt:lpstr>
      <vt:lpstr>instrumented_laxity</vt:lpstr>
      <vt:lpstr>pivot_shift</vt:lpstr>
      <vt:lpstr>lachman</vt:lpstr>
      <vt:lpstr>graft_failure</vt:lpstr>
      <vt:lpstr>data</vt:lpstr>
      <vt:lpstr>Data_type</vt:lpstr>
      <vt:lpstr>Effect_size</vt:lpstr>
      <vt:lpstr>Graft_type</vt:lpstr>
      <vt:lpstr>ID</vt:lpstr>
      <vt:lpstr>IQR</vt:lpstr>
      <vt:lpstr>Max</vt:lpstr>
      <vt:lpstr>Median</vt:lpstr>
      <vt:lpstr>Min</vt:lpstr>
      <vt:lpstr>Outcome</vt:lpstr>
      <vt:lpstr>Q1_</vt:lpstr>
      <vt:lpstr>Q3_</vt:lpstr>
      <vt:lpstr>Range</vt:lpstr>
      <vt:lpstr>Sample_size</vt:lpstr>
      <vt:lpstr>Scaled_effect_size</vt:lpstr>
      <vt:lpstr>Standard_Deviation</vt:lpstr>
      <vt:lpstr>Standard_error</vt:lpstr>
      <vt:lpstr>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dongwkim</dc:creator>
  <cp:lastModifiedBy>dongwkim</cp:lastModifiedBy>
  <dcterms:created xsi:type="dcterms:W3CDTF">2026-08-02T10:40:46Z</dcterms:created>
  <dcterms:modified xsi:type="dcterms:W3CDTF">2026-08-02T12:18:08Z</dcterms:modified>
</cp:coreProperties>
</file>