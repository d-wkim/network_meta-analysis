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ny\My Drive\network_meta-analysis\4_manuscript\network_meta-analysis\tables_and_figures\tables\"/>
    </mc:Choice>
  </mc:AlternateContent>
  <xr:revisionPtr revIDLastSave="0" documentId="13_ncr:1_{67648C7A-FD95-4968-8B6E-138461F2A935}" xr6:coauthVersionLast="47" xr6:coauthVersionMax="47" xr10:uidLastSave="{00000000-0000-0000-0000-000000000000}"/>
  <bookViews>
    <workbookView xWindow="-103" yWindow="-103" windowWidth="29692" windowHeight="11949" xr2:uid="{9539206C-94ED-4F49-867A-74065648844C}"/>
  </bookViews>
  <sheets>
    <sheet name="Sheet1" sheetId="1" r:id="rId1"/>
    <sheet name="Sheet2" sheetId="2" r:id="rId2"/>
  </sheets>
  <definedNames>
    <definedName name="age_mean">Sheet2!$E$2:$E$59</definedName>
    <definedName name="age_sd">Sheet2!$F$2:$F$59</definedName>
    <definedName name="female">Sheet2!$H$2:$H$59</definedName>
    <definedName name="follow_up_mo">Sheet2!$I$2:$I$59</definedName>
    <definedName name="follow_up_yr">Sheet2!$J$2:$J$59</definedName>
    <definedName name="id">Sheet2!$A$2:$A$59</definedName>
    <definedName name="male">Sheet2!$G$2:$G$59</definedName>
    <definedName name="study">Sheet2!$B$2:$B$59</definedName>
    <definedName name="subgroup">Sheet2!$C$2:$C$59</definedName>
    <definedName name="total">Sheet2!$D$2:$D$59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4" i="1" l="1" a="1"/>
  <c r="O4" i="1" s="1"/>
  <c r="N4" i="1" a="1"/>
  <c r="N4" i="1" s="1"/>
  <c r="J61" i="1"/>
  <c r="J60" i="1"/>
  <c r="J59" i="1"/>
  <c r="J58" i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L4" i="1" a="1"/>
  <c r="L4" i="1" s="1"/>
  <c r="K4" i="1" a="1"/>
  <c r="K4" i="1" s="1"/>
  <c r="H4" i="1" a="1"/>
  <c r="H4" i="1" s="1"/>
  <c r="C4" i="1" a="1"/>
  <c r="C4" i="1" s="1"/>
  <c r="D4" i="1" s="1" a="1"/>
  <c r="D4" i="1" s="1"/>
  <c r="B4" i="1" a="1"/>
  <c r="B4" i="1" s="1"/>
  <c r="A4" i="1" a="1"/>
  <c r="A4" i="1" s="1"/>
  <c r="D33" i="1" l="1" a="1"/>
  <c r="D33" i="1" s="1"/>
  <c r="D10" i="1" a="1"/>
  <c r="D10" i="1" s="1"/>
  <c r="D26" i="1" a="1"/>
  <c r="D26" i="1" s="1"/>
  <c r="D34" i="1" a="1"/>
  <c r="D34" i="1" s="1"/>
  <c r="D42" i="1" a="1"/>
  <c r="D42" i="1" s="1"/>
  <c r="D50" i="1" a="1"/>
  <c r="D50" i="1" s="1"/>
  <c r="D58" i="1" a="1"/>
  <c r="D58" i="1" s="1"/>
  <c r="D11" i="1" a="1"/>
  <c r="D11" i="1" s="1"/>
  <c r="D19" i="1" a="1"/>
  <c r="D19" i="1" s="1"/>
  <c r="D27" i="1" a="1"/>
  <c r="D27" i="1" s="1"/>
  <c r="D35" i="1" a="1"/>
  <c r="D35" i="1" s="1"/>
  <c r="D43" i="1" a="1"/>
  <c r="D43" i="1" s="1"/>
  <c r="D51" i="1" a="1"/>
  <c r="D51" i="1" s="1"/>
  <c r="D59" i="1" a="1"/>
  <c r="D59" i="1" s="1"/>
  <c r="D17" i="1" a="1"/>
  <c r="D17" i="1" s="1"/>
  <c r="D49" i="1" a="1"/>
  <c r="D49" i="1" s="1"/>
  <c r="D18" i="1" a="1"/>
  <c r="D18" i="1" s="1"/>
  <c r="D20" i="1" a="1"/>
  <c r="D20" i="1" s="1"/>
  <c r="D36" i="1" a="1"/>
  <c r="D36" i="1" s="1"/>
  <c r="D60" i="1" a="1"/>
  <c r="D60" i="1" s="1"/>
  <c r="D13" i="1" a="1"/>
  <c r="D13" i="1" s="1"/>
  <c r="D21" i="1" a="1"/>
  <c r="D21" i="1" s="1"/>
  <c r="D29" i="1" a="1"/>
  <c r="D29" i="1" s="1"/>
  <c r="D37" i="1" a="1"/>
  <c r="D37" i="1" s="1"/>
  <c r="D45" i="1" a="1"/>
  <c r="D45" i="1" s="1"/>
  <c r="D53" i="1" a="1"/>
  <c r="D53" i="1" s="1"/>
  <c r="D61" i="1" a="1"/>
  <c r="D61" i="1" s="1"/>
  <c r="D25" i="1" a="1"/>
  <c r="D25" i="1" s="1"/>
  <c r="D41" i="1" a="1"/>
  <c r="D41" i="1" s="1"/>
  <c r="D57" i="1" a="1"/>
  <c r="D57" i="1" s="1"/>
  <c r="D12" i="1" a="1"/>
  <c r="D12" i="1" s="1"/>
  <c r="D28" i="1" a="1"/>
  <c r="D28" i="1" s="1"/>
  <c r="D44" i="1" a="1"/>
  <c r="D44" i="1" s="1"/>
  <c r="D52" i="1" a="1"/>
  <c r="D52" i="1" s="1"/>
  <c r="D14" i="1" a="1"/>
  <c r="D14" i="1" s="1"/>
  <c r="D22" i="1" a="1"/>
  <c r="D22" i="1" s="1"/>
  <c r="D30" i="1" a="1"/>
  <c r="D30" i="1" s="1"/>
  <c r="D38" i="1" a="1"/>
  <c r="D38" i="1" s="1"/>
  <c r="D46" i="1" a="1"/>
  <c r="D46" i="1" s="1"/>
  <c r="D54" i="1" a="1"/>
  <c r="D54" i="1" s="1"/>
  <c r="D9" i="1" a="1"/>
  <c r="D9" i="1" s="1"/>
  <c r="D5" i="1" a="1"/>
  <c r="D5" i="1" s="1"/>
  <c r="D15" i="1" a="1"/>
  <c r="D15" i="1" s="1"/>
  <c r="D23" i="1" a="1"/>
  <c r="D23" i="1" s="1"/>
  <c r="D31" i="1" a="1"/>
  <c r="D31" i="1" s="1"/>
  <c r="D39" i="1" a="1"/>
  <c r="D39" i="1" s="1"/>
  <c r="D47" i="1" a="1"/>
  <c r="D47" i="1" s="1"/>
  <c r="D55" i="1" a="1"/>
  <c r="D55" i="1" s="1"/>
  <c r="D6" i="1" a="1"/>
  <c r="D6" i="1" s="1"/>
  <c r="D16" i="1" a="1"/>
  <c r="D16" i="1" s="1"/>
  <c r="D24" i="1" a="1"/>
  <c r="D24" i="1" s="1"/>
  <c r="D32" i="1" a="1"/>
  <c r="D32" i="1" s="1"/>
  <c r="D40" i="1" a="1"/>
  <c r="D40" i="1" s="1"/>
  <c r="D48" i="1" a="1"/>
  <c r="D48" i="1" s="1"/>
  <c r="D56" i="1" a="1"/>
  <c r="D56" i="1" s="1"/>
  <c r="D8" i="1" a="1"/>
  <c r="D8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<sst xmlns="http://schemas.openxmlformats.org/spreadsheetml/2006/main" count="142" uniqueCount="90">
  <si>
    <t>ID</t>
  </si>
  <si>
    <t>Study</t>
  </si>
  <si>
    <t>Arms</t>
  </si>
  <si>
    <t>Covariates</t>
  </si>
  <si>
    <t>Intervention 1</t>
  </si>
  <si>
    <t>Intervention 2</t>
  </si>
  <si>
    <t>Aglietti et al., 2004</t>
  </si>
  <si>
    <t>BPTB</t>
  </si>
  <si>
    <t>HT</t>
  </si>
  <si>
    <t>Ahldén et al., 2009</t>
  </si>
  <si>
    <t>Anderson et al., 2001</t>
  </si>
  <si>
    <t>Anz et al., 2023</t>
  </si>
  <si>
    <t>Aune et al., 2001</t>
  </si>
  <si>
    <t>Barenius et al., 2010</t>
  </si>
  <si>
    <t>Barié et al., 2020</t>
  </si>
  <si>
    <t>Beynnon et al., 2002</t>
  </si>
  <si>
    <t>Bi et al., 2018</t>
  </si>
  <si>
    <t>Björnsson et al., 2016</t>
  </si>
  <si>
    <t>Bottoni et al., 2015</t>
  </si>
  <si>
    <t>Butt et al., 2024</t>
  </si>
  <si>
    <t>Calvert et al., 2025</t>
  </si>
  <si>
    <t>Ejerhed et al., 2003</t>
  </si>
  <si>
    <t>Eriksson et al., 2001</t>
  </si>
  <si>
    <t>Feller &amp; Webster, 2003</t>
  </si>
  <si>
    <t>Gifstad et al., 2013</t>
  </si>
  <si>
    <t>Guglielmetti et al., 2021</t>
  </si>
  <si>
    <t>Harilainen et al., 2006</t>
  </si>
  <si>
    <t>Heijne &amp; Werner, 2010</t>
  </si>
  <si>
    <t>Holm et al., 2010</t>
  </si>
  <si>
    <t>Horstmann et al., 2022</t>
  </si>
  <si>
    <t>Ibrahim et al., 2005</t>
  </si>
  <si>
    <t>Iliopoulos et al., 2017</t>
  </si>
  <si>
    <t>Jansson et al., 2003</t>
  </si>
  <si>
    <t>Kautzner et al., 2015</t>
  </si>
  <si>
    <t>Komzak et al., 2022</t>
  </si>
  <si>
    <t>Konrads et al., 2016</t>
  </si>
  <si>
    <t>Laoruengthana et al., 2009</t>
  </si>
  <si>
    <t>Lawhorn et al., 2012</t>
  </si>
  <si>
    <t>Laxdal et al., 2005</t>
  </si>
  <si>
    <t>Li et al., 2015</t>
  </si>
  <si>
    <t>Lidén et al., 2007</t>
  </si>
  <si>
    <t>Lind et al., 2020</t>
  </si>
  <si>
    <t>Lucidi et al., 2025</t>
  </si>
  <si>
    <t>Lui et al., 2012</t>
  </si>
  <si>
    <t>Lund et al., 2014</t>
  </si>
  <si>
    <t>Malik et al., 2026</t>
  </si>
  <si>
    <t>Matsumoto et al., 2006</t>
  </si>
  <si>
    <t>Mohtadi et al., 2016</t>
  </si>
  <si>
    <t>Moraiti et al., 2010</t>
  </si>
  <si>
    <t>Noh et al., 2011</t>
  </si>
  <si>
    <t>Papalia et al., 2015</t>
  </si>
  <si>
    <t>Pinczewski et al., 2007</t>
  </si>
  <si>
    <t>Popovic et al., 2024</t>
  </si>
  <si>
    <t>Sajovic et al., 2018</t>
  </si>
  <si>
    <t>Sinding et al., 2020</t>
  </si>
  <si>
    <t>Smith et al., 2020</t>
  </si>
  <si>
    <t>Sonnery-Cottet et al., 2026</t>
  </si>
  <si>
    <t>Tang et al., 2023</t>
  </si>
  <si>
    <t>Taylor et al., 2009</t>
  </si>
  <si>
    <t>Vilchez-Cavazos et al., 2020</t>
  </si>
  <si>
    <t>Webster et al., 2001</t>
  </si>
  <si>
    <t>Wipfler et al., 2011</t>
  </si>
  <si>
    <t>Yadav et al., 2025</t>
  </si>
  <si>
    <t>Yoo et al., 2017</t>
  </si>
  <si>
    <t>Zaffagnini et al., 2011</t>
  </si>
  <si>
    <r>
      <t xml:space="preserve">Sample size, </t>
    </r>
    <r>
      <rPr>
        <i/>
        <sz val="9"/>
        <color theme="1"/>
        <rFont val="Times New Roman"/>
        <family val="1"/>
      </rPr>
      <t>n</t>
    </r>
  </si>
  <si>
    <r>
      <t xml:space="preserve">Male, </t>
    </r>
    <r>
      <rPr>
        <i/>
        <sz val="9"/>
        <color theme="1"/>
        <rFont val="Times New Roman"/>
        <family val="1"/>
      </rPr>
      <t>n</t>
    </r>
  </si>
  <si>
    <r>
      <t xml:space="preserve">Female, </t>
    </r>
    <r>
      <rPr>
        <i/>
        <sz val="9"/>
        <color theme="1"/>
        <rFont val="Times New Roman"/>
        <family val="1"/>
      </rPr>
      <t>n</t>
    </r>
  </si>
  <si>
    <t>id</t>
  </si>
  <si>
    <t>study</t>
  </si>
  <si>
    <t>subgroup</t>
  </si>
  <si>
    <t>total</t>
  </si>
  <si>
    <t>age_mean</t>
  </si>
  <si>
    <t>age_sd</t>
  </si>
  <si>
    <t>male</t>
  </si>
  <si>
    <t>female</t>
  </si>
  <si>
    <t>follow-up_mo</t>
  </si>
  <si>
    <t>follow-up_yr</t>
  </si>
  <si>
    <t>Ageberg et al., 2009</t>
  </si>
  <si>
    <t>BPTB, HT</t>
  </si>
  <si>
    <t>HT, AT</t>
  </si>
  <si>
    <t>HT, QT</t>
  </si>
  <si>
    <t>HT, TA</t>
  </si>
  <si>
    <t>BPTB, QT</t>
  </si>
  <si>
    <t>HT, PLT</t>
  </si>
  <si>
    <t>Follow-up duration</t>
  </si>
  <si>
    <r>
      <t xml:space="preserve">Age, 
</t>
    </r>
    <r>
      <rPr>
        <i/>
        <sz val="9"/>
        <color theme="1"/>
        <rFont val="Times New Roman"/>
        <family val="1"/>
      </rPr>
      <t>mean ± sd</t>
    </r>
    <r>
      <rPr>
        <sz val="9"/>
        <color theme="1"/>
        <rFont val="Times New Roman"/>
        <family val="1"/>
      </rPr>
      <t xml:space="preserve"> </t>
    </r>
  </si>
  <si>
    <r>
      <t xml:space="preserve">Total, </t>
    </r>
    <r>
      <rPr>
        <i/>
        <sz val="9"/>
        <color theme="1"/>
        <rFont val="Times New Roman"/>
        <family val="1"/>
      </rPr>
      <t>n</t>
    </r>
  </si>
  <si>
    <t>Months</t>
  </si>
  <si>
    <t>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</si>
</sst>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Aptos Narrow"/>
      <family val="2"/>
      <scheme val="minor"/>
    </font>
    <font>
      <sz val="9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3" fillId="0" borderId="0" xfId="0" applyFont="1"/>
    <xf numFmtId="0" fontId="4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1" fillId="0" borderId="0" xfId="0" applyFont="1" applyBorder="1" applyAlignment="1">
      <alignment vertical="center" wrapText="1"/>
    </xf>
    <xf numFmtId="0" fontId="4" fillId="0" borderId="0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EAF229-2531-4326-ADA4-6B089BDE35CF}">
  <dimension ref="A1:O61"/>
  <sheetViews>
    <sheetView tabSelected="1" workbookViewId="0">
      <selection activeCell="O5" sqref="O5"/>
    </sheetView>
  </sheetViews>
  <sheetFormatPr defaultRowHeight="12" x14ac:dyDescent="0.35"/>
  <cols>
    <col min="1" max="1" width="2.3828125" style="1" bestFit="1" customWidth="1"/>
    <col min="2" max="3" width="26" style="1" customWidth="1"/>
    <col min="4" max="5" width="9.61328125" style="1" bestFit="1" customWidth="1"/>
    <col min="6" max="6" width="0.765625" style="1" customWidth="1"/>
    <col min="7" max="7" width="1.07421875" style="1" customWidth="1"/>
    <col min="8" max="8" width="9.69140625" style="1" bestFit="1" customWidth="1"/>
    <col min="9" max="9" width="0.765625" style="1" customWidth="1"/>
    <col min="10" max="10" width="6.921875" style="1" customWidth="1"/>
    <col min="11" max="11" width="5.765625" style="1" bestFit="1" customWidth="1"/>
    <col min="12" max="12" width="7.23046875" style="1" bestFit="1" customWidth="1"/>
    <col min="13" max="13" width="0.765625" style="1" customWidth="1"/>
    <col min="14" max="14" width="14" style="1" bestFit="1" customWidth="1"/>
    <col min="15" max="15" width="9.23046875" style="17"/>
    <col min="16" max="16384" width="9.23046875" style="1"/>
  </cols>
  <sheetData>
    <row r="1" spans="1:15" ht="15" customHeight="1" x14ac:dyDescent="0.35">
      <c r="A1" s="11" t="s">
        <v>0</v>
      </c>
      <c r="B1" s="11" t="s">
        <v>1</v>
      </c>
      <c r="C1" s="12"/>
      <c r="D1" s="12" t="s">
        <v>2</v>
      </c>
      <c r="E1" s="12"/>
      <c r="F1" s="12"/>
      <c r="G1" s="9"/>
      <c r="H1" s="12" t="s">
        <v>3</v>
      </c>
      <c r="I1" s="12"/>
      <c r="J1" s="12"/>
      <c r="K1" s="12"/>
      <c r="L1" s="12"/>
      <c r="M1" s="12"/>
      <c r="N1" s="12"/>
      <c r="O1" s="12"/>
    </row>
    <row r="2" spans="1:15" ht="15" customHeight="1" x14ac:dyDescent="0.35">
      <c r="A2" s="13"/>
      <c r="B2" s="13"/>
      <c r="C2" s="14"/>
      <c r="D2" s="14" t="s">
        <v>4</v>
      </c>
      <c r="E2" s="14" t="s">
        <v>5</v>
      </c>
      <c r="F2" s="14"/>
      <c r="G2" s="16"/>
      <c r="H2" s="14" t="s">
        <v>86</v>
      </c>
      <c r="I2" s="16"/>
      <c r="J2" s="14" t="s">
        <v>65</v>
      </c>
      <c r="K2" s="14"/>
      <c r="L2" s="14"/>
      <c r="M2" s="16"/>
      <c r="N2" s="14" t="s">
        <v>85</v>
      </c>
      <c r="O2" s="14"/>
    </row>
    <row r="3" spans="1:15" x14ac:dyDescent="0.35">
      <c r="A3" s="13"/>
      <c r="B3" s="13"/>
      <c r="C3" s="14"/>
      <c r="D3" s="14"/>
      <c r="E3" s="14"/>
      <c r="F3" s="14"/>
      <c r="G3" s="8"/>
      <c r="H3" s="14"/>
      <c r="I3" s="8"/>
      <c r="J3" s="10" t="s">
        <v>87</v>
      </c>
      <c r="K3" s="10" t="s">
        <v>66</v>
      </c>
      <c r="L3" s="10" t="s">
        <v>67</v>
      </c>
      <c r="M3" s="8"/>
      <c r="N3" s="15" t="s">
        <v>88</v>
      </c>
      <c r="O3" s="15" t="s">
        <v>89</v>
      </c>
    </row>
    <row r="4" spans="1:15" x14ac:dyDescent="0.35">
      <c r="A4" s="2" cm="1">
        <f t="array" ref="A4:A61">id</f>
        <v>1</v>
      </c>
      <c r="B4" s="2" t="str" cm="1">
        <f t="array" ref="B4:B61">study</f>
        <v>Ageberg et al., 2009</v>
      </c>
      <c r="C4" s="3" t="str" cm="1">
        <f t="array" ref="C4:C61">subgroup</f>
        <v>BPTB, HT</v>
      </c>
      <c r="D4" s="1" t="str" cm="1">
        <f t="array" ref="D4:E4">_xlfn.TEXTSPLIT(C4, ", ")</f>
        <v>BPTB</v>
      </c>
      <c r="E4" s="3" t="str">
        <v>HT</v>
      </c>
      <c r="F4" s="4"/>
      <c r="G4" s="5"/>
      <c r="H4" s="5" t="str" cm="1">
        <f t="array" ref="H4:H61">age_mean&amp;" ± "&amp;age_sd</f>
        <v>30 ± 5.1</v>
      </c>
      <c r="I4" s="4"/>
      <c r="J4" s="3">
        <f>SUM(K4:L4)</f>
        <v>36</v>
      </c>
      <c r="K4" s="5" cm="1">
        <f t="array" ref="K4:K61">male</f>
        <v>27</v>
      </c>
      <c r="L4" s="5" cm="1">
        <f t="array" ref="L4:L61">female</f>
        <v>9</v>
      </c>
      <c r="M4" s="4"/>
      <c r="N4" s="5" cm="1">
        <f t="array" ref="N4:N61">follow_up_mo</f>
        <v>36</v>
      </c>
      <c r="O4" s="17" cm="1">
        <f t="array" ref="O4:O61">follow_up_yr</f>
        <v>3</v>
      </c>
    </row>
    <row r="5" spans="1:15" x14ac:dyDescent="0.35">
      <c r="A5" s="2">
        <v>2</v>
      </c>
      <c r="B5" s="2" t="str">
        <v>Aglietti et al., 2004</v>
      </c>
      <c r="C5" s="2" t="str">
        <v>BPTB, HT</v>
      </c>
      <c r="D5" s="1" t="str" cm="1">
        <f t="array" ref="D5:E5">_xlfn.TEXTSPLIT(C5, ", ")</f>
        <v>BPTB</v>
      </c>
      <c r="E5" s="3" t="str">
        <v>HT</v>
      </c>
      <c r="F5" s="4"/>
      <c r="G5" s="5"/>
      <c r="H5" s="5" t="str">
        <v>25 ± 5.1</v>
      </c>
      <c r="I5" s="4"/>
      <c r="J5" s="3">
        <f t="shared" ref="J5:J61" si="0">SUM(K5:L5)</f>
        <v>120</v>
      </c>
      <c r="K5" s="5">
        <v>92</v>
      </c>
      <c r="L5" s="5">
        <v>28</v>
      </c>
      <c r="M5" s="4"/>
      <c r="N5" s="5">
        <v>24</v>
      </c>
      <c r="O5" s="17">
        <v>2</v>
      </c>
    </row>
    <row r="6" spans="1:15" x14ac:dyDescent="0.35">
      <c r="A6" s="2">
        <v>3</v>
      </c>
      <c r="B6" s="2" t="str">
        <v>Ahldén et al., 2009</v>
      </c>
      <c r="C6" s="2" t="str">
        <v>BPTB, HT</v>
      </c>
      <c r="D6" s="1" t="str" cm="1">
        <f t="array" ref="D6:E6">_xlfn.TEXTSPLIT(C6, ", ")</f>
        <v>BPTB</v>
      </c>
      <c r="E6" s="3" t="str">
        <v>HT</v>
      </c>
      <c r="F6" s="4"/>
      <c r="G6" s="5"/>
      <c r="H6" s="5" t="str">
        <v>28 ± 5.1</v>
      </c>
      <c r="I6" s="4"/>
      <c r="J6" s="3">
        <f t="shared" si="0"/>
        <v>47</v>
      </c>
      <c r="K6" s="5">
        <v>32</v>
      </c>
      <c r="L6" s="5">
        <v>15</v>
      </c>
      <c r="M6" s="4"/>
      <c r="N6" s="5">
        <v>88.5</v>
      </c>
      <c r="O6" s="17">
        <v>7.4</v>
      </c>
    </row>
    <row r="7" spans="1:15" x14ac:dyDescent="0.35">
      <c r="A7" s="2">
        <v>5</v>
      </c>
      <c r="B7" s="2" t="str">
        <v>Anderson et al., 2001</v>
      </c>
      <c r="C7" s="2" t="str">
        <v>BPTB, HT</v>
      </c>
      <c r="D7" s="1" t="s">
        <v>7</v>
      </c>
      <c r="E7" s="3" t="s">
        <v>8</v>
      </c>
      <c r="F7" s="4"/>
      <c r="G7" s="5"/>
      <c r="H7" s="5" t="str">
        <v>20.6 ± 5.9</v>
      </c>
      <c r="I7" s="4"/>
      <c r="J7" s="3">
        <f t="shared" si="0"/>
        <v>103</v>
      </c>
      <c r="K7" s="5">
        <v>68</v>
      </c>
      <c r="L7" s="5">
        <v>35</v>
      </c>
      <c r="M7" s="4"/>
      <c r="N7" s="5">
        <v>35.9</v>
      </c>
      <c r="O7" s="17">
        <v>3</v>
      </c>
    </row>
    <row r="8" spans="1:15" x14ac:dyDescent="0.35">
      <c r="A8" s="2">
        <v>6</v>
      </c>
      <c r="B8" s="2" t="str">
        <v>Anz et al., 2023</v>
      </c>
      <c r="C8" s="2" t="str">
        <v>BPTB, HT</v>
      </c>
      <c r="D8" s="1" t="str" cm="1">
        <f t="array" ref="D8:E8">_xlfn.TEXTSPLIT(C8, ", ")</f>
        <v>BPTB</v>
      </c>
      <c r="E8" s="3" t="str">
        <v>HT</v>
      </c>
      <c r="F8" s="4"/>
      <c r="G8" s="5"/>
      <c r="H8" s="5" t="str">
        <v>28.5 ± 6.4</v>
      </c>
      <c r="I8" s="4"/>
      <c r="J8" s="3">
        <f t="shared" si="0"/>
        <v>20</v>
      </c>
      <c r="K8" s="5">
        <v>7</v>
      </c>
      <c r="L8" s="5">
        <v>13</v>
      </c>
      <c r="M8" s="4"/>
      <c r="N8" s="5">
        <v>12</v>
      </c>
      <c r="O8" s="17">
        <v>1</v>
      </c>
    </row>
    <row r="9" spans="1:15" x14ac:dyDescent="0.35">
      <c r="A9" s="2">
        <v>7</v>
      </c>
      <c r="B9" s="2" t="str">
        <v>Aune et al., 2001</v>
      </c>
      <c r="C9" s="2" t="str">
        <v>BPTB, HT</v>
      </c>
      <c r="D9" s="1" t="str" cm="1">
        <f t="array" ref="D9:E9">_xlfn.TEXTSPLIT(C9, ", ")</f>
        <v>BPTB</v>
      </c>
      <c r="E9" s="3" t="str">
        <v>HT</v>
      </c>
      <c r="F9" s="4"/>
      <c r="G9" s="5"/>
      <c r="H9" s="5" t="str">
        <v>26 ± 5.8</v>
      </c>
      <c r="I9" s="4"/>
      <c r="J9" s="3">
        <f t="shared" si="0"/>
        <v>72</v>
      </c>
      <c r="K9" s="5">
        <v>40</v>
      </c>
      <c r="L9" s="5">
        <v>32</v>
      </c>
      <c r="M9" s="4"/>
      <c r="N9" s="5">
        <v>24</v>
      </c>
      <c r="O9" s="17">
        <v>2</v>
      </c>
    </row>
    <row r="10" spans="1:15" x14ac:dyDescent="0.35">
      <c r="A10" s="2">
        <v>9</v>
      </c>
      <c r="B10" s="2" t="str">
        <v>Barenius et al., 2010</v>
      </c>
      <c r="C10" s="2" t="str">
        <v>BPTB, HT</v>
      </c>
      <c r="D10" s="1" t="str" cm="1">
        <f t="array" ref="D10:E10">_xlfn.TEXTSPLIT(C10, ", ")</f>
        <v>BPTB</v>
      </c>
      <c r="E10" s="3" t="str">
        <v>HT</v>
      </c>
      <c r="F10" s="4"/>
      <c r="G10" s="5"/>
      <c r="H10" s="5" t="str">
        <v>34 ± 7.9</v>
      </c>
      <c r="I10" s="4"/>
      <c r="J10" s="3">
        <f t="shared" si="0"/>
        <v>153</v>
      </c>
      <c r="K10" s="5">
        <v>89</v>
      </c>
      <c r="L10" s="5">
        <v>64</v>
      </c>
      <c r="M10" s="4"/>
      <c r="N10" s="5">
        <v>96</v>
      </c>
      <c r="O10" s="17">
        <v>8</v>
      </c>
    </row>
    <row r="11" spans="1:15" x14ac:dyDescent="0.35">
      <c r="A11" s="2">
        <v>10</v>
      </c>
      <c r="B11" s="2" t="str">
        <v>Barié et al., 2020</v>
      </c>
      <c r="C11" s="2" t="str">
        <v>BPTB, QT</v>
      </c>
      <c r="D11" s="1" t="str" cm="1">
        <f t="array" ref="D11:E11">_xlfn.TEXTSPLIT(C11, ", ")</f>
        <v>BPTB</v>
      </c>
      <c r="E11" s="3" t="str">
        <v>QT</v>
      </c>
      <c r="F11" s="4"/>
      <c r="G11" s="5"/>
      <c r="H11" s="5" t="str">
        <v>30.6 ± 8.1</v>
      </c>
      <c r="I11" s="4"/>
      <c r="J11" s="3">
        <f t="shared" si="0"/>
        <v>60</v>
      </c>
      <c r="K11" s="5">
        <v>34</v>
      </c>
      <c r="L11" s="5">
        <v>26</v>
      </c>
      <c r="M11" s="4"/>
      <c r="N11" s="5">
        <v>123</v>
      </c>
      <c r="O11" s="17">
        <v>10.3</v>
      </c>
    </row>
    <row r="12" spans="1:15" x14ac:dyDescent="0.35">
      <c r="A12" s="2">
        <v>11</v>
      </c>
      <c r="B12" s="2" t="str">
        <v>Beynnon et al., 2002</v>
      </c>
      <c r="C12" s="2" t="str">
        <v>BPTB, HT</v>
      </c>
      <c r="D12" s="1" t="str" cm="1">
        <f t="array" ref="D12:E12">_xlfn.TEXTSPLIT(C12, ", ")</f>
        <v>BPTB</v>
      </c>
      <c r="E12" s="3" t="str">
        <v>HT</v>
      </c>
      <c r="F12" s="4"/>
      <c r="G12" s="5"/>
      <c r="H12" s="5" t="str">
        <v>29.2 ± 7</v>
      </c>
      <c r="I12" s="4"/>
      <c r="J12" s="3">
        <f t="shared" si="0"/>
        <v>56</v>
      </c>
      <c r="K12" s="5">
        <v>31</v>
      </c>
      <c r="L12" s="5">
        <v>25</v>
      </c>
      <c r="M12" s="4"/>
      <c r="N12" s="5">
        <v>36</v>
      </c>
      <c r="O12" s="17">
        <v>3</v>
      </c>
    </row>
    <row r="13" spans="1:15" x14ac:dyDescent="0.35">
      <c r="A13" s="2">
        <v>12</v>
      </c>
      <c r="B13" s="2" t="str">
        <v>Bi et al., 2018</v>
      </c>
      <c r="C13" s="2" t="str">
        <v>HT, PLT</v>
      </c>
      <c r="D13" s="1" t="str" cm="1">
        <f t="array" ref="D13:E13">_xlfn.TEXTSPLIT(C13, ", ")</f>
        <v>HT</v>
      </c>
      <c r="E13" s="3" t="str">
        <v>PLT</v>
      </c>
      <c r="F13" s="4"/>
      <c r="G13" s="5"/>
      <c r="H13" s="5" t="str">
        <v>28.5 ± 7.6</v>
      </c>
      <c r="I13" s="4"/>
      <c r="J13" s="3">
        <f t="shared" si="0"/>
        <v>124</v>
      </c>
      <c r="K13" s="5">
        <v>65</v>
      </c>
      <c r="L13" s="5">
        <v>59</v>
      </c>
      <c r="M13" s="4"/>
      <c r="N13" s="5">
        <v>30</v>
      </c>
      <c r="O13" s="17">
        <v>2.5</v>
      </c>
    </row>
    <row r="14" spans="1:15" x14ac:dyDescent="0.35">
      <c r="A14" s="2">
        <v>13</v>
      </c>
      <c r="B14" s="2" t="str">
        <v>Björnsson et al., 2016</v>
      </c>
      <c r="C14" s="2" t="str">
        <v>BPTB, HT</v>
      </c>
      <c r="D14" s="1" t="str" cm="1">
        <f t="array" ref="D14:E14">_xlfn.TEXTSPLIT(C14, ", ")</f>
        <v>BPTB</v>
      </c>
      <c r="E14" s="3" t="str">
        <v>HT</v>
      </c>
      <c r="F14" s="4"/>
      <c r="G14" s="5"/>
      <c r="H14" s="5" t="str">
        <v>27.5 ± 6.3</v>
      </c>
      <c r="I14" s="4"/>
      <c r="J14" s="3">
        <f t="shared" si="0"/>
        <v>147</v>
      </c>
      <c r="K14" s="5">
        <v>95</v>
      </c>
      <c r="L14" s="5">
        <v>52</v>
      </c>
      <c r="M14" s="4"/>
      <c r="N14" s="5">
        <v>197.3</v>
      </c>
      <c r="O14" s="17">
        <v>16.5</v>
      </c>
    </row>
    <row r="15" spans="1:15" x14ac:dyDescent="0.35">
      <c r="A15" s="2">
        <v>14</v>
      </c>
      <c r="B15" s="2" t="str">
        <v>Bottoni et al., 2015</v>
      </c>
      <c r="C15" s="2" t="str">
        <v>HT, TA</v>
      </c>
      <c r="D15" s="1" t="str" cm="1">
        <f t="array" ref="D15:E15">_xlfn.TEXTSPLIT(C15, ", ")</f>
        <v>HT</v>
      </c>
      <c r="E15" s="3" t="str">
        <v>TA</v>
      </c>
      <c r="F15" s="4"/>
      <c r="G15" s="5"/>
      <c r="H15" s="5" t="str">
        <v>29.1 ± 6.6</v>
      </c>
      <c r="I15" s="4"/>
      <c r="J15" s="3">
        <f t="shared" si="0"/>
        <v>97</v>
      </c>
      <c r="K15" s="5">
        <v>84</v>
      </c>
      <c r="L15" s="5">
        <v>13</v>
      </c>
      <c r="M15" s="4"/>
      <c r="N15" s="5">
        <v>120</v>
      </c>
      <c r="O15" s="17">
        <v>10</v>
      </c>
    </row>
    <row r="16" spans="1:15" x14ac:dyDescent="0.35">
      <c r="A16" s="2">
        <v>18</v>
      </c>
      <c r="B16" s="2" t="str">
        <v>Butt et al., 2024</v>
      </c>
      <c r="C16" s="2" t="str">
        <v>HT, PLT</v>
      </c>
      <c r="D16" s="1" t="str" cm="1">
        <f t="array" ref="D16:E16">_xlfn.TEXTSPLIT(C16, ", ")</f>
        <v>HT</v>
      </c>
      <c r="E16" s="3" t="str">
        <v>PLT</v>
      </c>
      <c r="F16" s="4"/>
      <c r="G16" s="5"/>
      <c r="H16" s="5" t="str">
        <v>28.5 ± 8.3</v>
      </c>
      <c r="I16" s="4"/>
      <c r="J16" s="3">
        <f t="shared" si="0"/>
        <v>60</v>
      </c>
      <c r="K16" s="5">
        <v>59</v>
      </c>
      <c r="L16" s="5">
        <v>1</v>
      </c>
      <c r="M16" s="4"/>
      <c r="N16" s="5">
        <v>60</v>
      </c>
      <c r="O16" s="17">
        <v>5</v>
      </c>
    </row>
    <row r="17" spans="1:15" x14ac:dyDescent="0.35">
      <c r="A17" s="2">
        <v>19</v>
      </c>
      <c r="B17" s="2" t="str">
        <v>Calvert et al., 2025</v>
      </c>
      <c r="C17" s="2" t="str">
        <v>HT, QT</v>
      </c>
      <c r="D17" s="1" t="str" cm="1">
        <f t="array" ref="D17:E17">_xlfn.TEXTSPLIT(C17, ", ")</f>
        <v>HT</v>
      </c>
      <c r="E17" s="3" t="str">
        <v>QT</v>
      </c>
      <c r="F17" s="4"/>
      <c r="G17" s="5"/>
      <c r="H17" s="5" t="str">
        <v>28.8 ± 5.6</v>
      </c>
      <c r="I17" s="4"/>
      <c r="J17" s="3">
        <f t="shared" si="0"/>
        <v>112</v>
      </c>
      <c r="K17" s="5">
        <v>56</v>
      </c>
      <c r="L17" s="5">
        <v>56</v>
      </c>
      <c r="M17" s="4"/>
      <c r="N17" s="5">
        <v>24</v>
      </c>
      <c r="O17" s="17">
        <v>2</v>
      </c>
    </row>
    <row r="18" spans="1:15" x14ac:dyDescent="0.35">
      <c r="A18" s="2">
        <v>23</v>
      </c>
      <c r="B18" s="2" t="str">
        <v>Ejerhed et al., 2003</v>
      </c>
      <c r="C18" s="2" t="str">
        <v>BPTB, HT</v>
      </c>
      <c r="D18" s="1" t="str" cm="1">
        <f t="array" ref="D18:E18">_xlfn.TEXTSPLIT(C18, ", ")</f>
        <v>BPTB</v>
      </c>
      <c r="E18" s="3" t="str">
        <v>HT</v>
      </c>
      <c r="F18" s="4"/>
      <c r="G18" s="5"/>
      <c r="H18" s="5" t="str">
        <v>29 ± 4.6</v>
      </c>
      <c r="I18" s="4"/>
      <c r="J18" s="3">
        <f t="shared" si="0"/>
        <v>66</v>
      </c>
      <c r="K18" s="5">
        <v>46</v>
      </c>
      <c r="L18" s="5">
        <v>20</v>
      </c>
      <c r="M18" s="4"/>
      <c r="N18" s="5">
        <v>24</v>
      </c>
      <c r="O18" s="17">
        <v>2</v>
      </c>
    </row>
    <row r="19" spans="1:15" x14ac:dyDescent="0.35">
      <c r="A19" s="2">
        <v>25</v>
      </c>
      <c r="B19" s="2" t="str">
        <v>Eriksson et al., 2001</v>
      </c>
      <c r="C19" s="2" t="str">
        <v>BPTB, HT</v>
      </c>
      <c r="D19" s="1" t="str" cm="1">
        <f t="array" ref="D19:E19">_xlfn.TEXTSPLIT(C19, ", ")</f>
        <v>BPTB</v>
      </c>
      <c r="E19" s="3" t="str">
        <v>HT</v>
      </c>
      <c r="F19" s="4"/>
      <c r="G19" s="5"/>
      <c r="H19" s="5" t="str">
        <v>27 ± 7.9</v>
      </c>
      <c r="I19" s="4"/>
      <c r="J19" s="3">
        <f t="shared" si="0"/>
        <v>0</v>
      </c>
      <c r="K19" s="5">
        <v>0</v>
      </c>
      <c r="L19" s="5">
        <v>0</v>
      </c>
      <c r="M19" s="4"/>
      <c r="N19" s="5">
        <v>6.7</v>
      </c>
      <c r="O19" s="17">
        <v>0.6</v>
      </c>
    </row>
    <row r="20" spans="1:15" x14ac:dyDescent="0.35">
      <c r="A20" s="2">
        <v>26</v>
      </c>
      <c r="B20" s="2" t="str">
        <v>Feller &amp; Webster, 2003</v>
      </c>
      <c r="C20" s="2" t="str">
        <v>BPTB, HT</v>
      </c>
      <c r="D20" s="1" t="str" cm="1">
        <f t="array" ref="D20:E20">_xlfn.TEXTSPLIT(C20, ", ")</f>
        <v>BPTB</v>
      </c>
      <c r="E20" s="3" t="str">
        <v>HT</v>
      </c>
      <c r="F20" s="4"/>
      <c r="G20" s="5"/>
      <c r="H20" s="5" t="str">
        <v>26.1 ± 9.7</v>
      </c>
      <c r="I20" s="4"/>
      <c r="J20" s="3">
        <f t="shared" si="0"/>
        <v>65</v>
      </c>
      <c r="K20" s="5">
        <v>47</v>
      </c>
      <c r="L20" s="5">
        <v>18</v>
      </c>
      <c r="M20" s="4"/>
      <c r="N20" s="5">
        <v>36</v>
      </c>
      <c r="O20" s="17">
        <v>3</v>
      </c>
    </row>
    <row r="21" spans="1:15" x14ac:dyDescent="0.35">
      <c r="A21" s="2">
        <v>30</v>
      </c>
      <c r="B21" s="2" t="str">
        <v>Gifstad et al., 2013</v>
      </c>
      <c r="C21" s="2" t="str">
        <v>BPTB, HT</v>
      </c>
      <c r="D21" s="1" t="str" cm="1">
        <f t="array" ref="D21:E21">_xlfn.TEXTSPLIT(C21, ", ")</f>
        <v>BPTB</v>
      </c>
      <c r="E21" s="3" t="str">
        <v>HT</v>
      </c>
      <c r="F21" s="4"/>
      <c r="G21" s="5"/>
      <c r="H21" s="5" t="str">
        <v>27 ± 6</v>
      </c>
      <c r="I21" s="4"/>
      <c r="J21" s="3">
        <f t="shared" si="0"/>
        <v>0</v>
      </c>
      <c r="K21" s="5">
        <v>0</v>
      </c>
      <c r="L21" s="5">
        <v>0</v>
      </c>
      <c r="M21" s="4"/>
      <c r="N21" s="5">
        <v>84</v>
      </c>
      <c r="O21" s="17">
        <v>7</v>
      </c>
    </row>
    <row r="22" spans="1:15" x14ac:dyDescent="0.35">
      <c r="A22" s="2">
        <v>32</v>
      </c>
      <c r="B22" s="2" t="str">
        <v>Guglielmetti et al., 2021</v>
      </c>
      <c r="C22" s="2" t="str">
        <v>BPTB, HT</v>
      </c>
      <c r="D22" s="1" t="str" cm="1">
        <f t="array" ref="D22:E22">_xlfn.TEXTSPLIT(C22, ", ")</f>
        <v>BPTB</v>
      </c>
      <c r="E22" s="3" t="str">
        <v>HT</v>
      </c>
      <c r="F22" s="4"/>
      <c r="G22" s="5"/>
      <c r="H22" s="5" t="str">
        <v>24.9 ± 6</v>
      </c>
      <c r="I22" s="4"/>
      <c r="J22" s="3">
        <f t="shared" si="0"/>
        <v>62</v>
      </c>
      <c r="K22" s="5">
        <v>42</v>
      </c>
      <c r="L22" s="5">
        <v>20</v>
      </c>
      <c r="M22" s="4"/>
      <c r="N22" s="5">
        <v>24</v>
      </c>
      <c r="O22" s="17">
        <v>2</v>
      </c>
    </row>
    <row r="23" spans="1:15" x14ac:dyDescent="0.35">
      <c r="A23" s="2">
        <v>33</v>
      </c>
      <c r="B23" s="2" t="str">
        <v>Harilainen et al., 2006</v>
      </c>
      <c r="C23" s="2" t="str">
        <v>BPTB, HT</v>
      </c>
      <c r="D23" s="1" t="str" cm="1">
        <f t="array" ref="D23:E23">_xlfn.TEXTSPLIT(C23, ", ")</f>
        <v>BPTB</v>
      </c>
      <c r="E23" s="3" t="str">
        <v>HT</v>
      </c>
      <c r="F23" s="4"/>
      <c r="G23" s="5"/>
      <c r="H23" s="5" t="str">
        <v xml:space="preserve"> ± 6.7</v>
      </c>
      <c r="I23" s="4"/>
      <c r="J23" s="3">
        <f t="shared" si="0"/>
        <v>0</v>
      </c>
      <c r="K23" s="5">
        <v>0</v>
      </c>
      <c r="L23" s="5">
        <v>0</v>
      </c>
      <c r="M23" s="4"/>
      <c r="N23" s="5">
        <v>60.6</v>
      </c>
      <c r="O23" s="17">
        <v>5.0999999999999996</v>
      </c>
    </row>
    <row r="24" spans="1:15" x14ac:dyDescent="0.35">
      <c r="A24" s="2">
        <v>34</v>
      </c>
      <c r="B24" s="2" t="str">
        <v>Heijne &amp; Werner, 2010</v>
      </c>
      <c r="C24" s="2" t="str">
        <v>BPTB, HT</v>
      </c>
      <c r="D24" s="1" t="str" cm="1">
        <f t="array" ref="D24:E24">_xlfn.TEXTSPLIT(C24, ", ")</f>
        <v>BPTB</v>
      </c>
      <c r="E24" s="3" t="str">
        <v>HT</v>
      </c>
      <c r="F24" s="4"/>
      <c r="G24" s="5"/>
      <c r="H24" s="5" t="str">
        <v>29.5 ± 5.4</v>
      </c>
      <c r="I24" s="4"/>
      <c r="J24" s="3">
        <f t="shared" si="0"/>
        <v>68</v>
      </c>
      <c r="K24" s="5">
        <v>36</v>
      </c>
      <c r="L24" s="5">
        <v>32</v>
      </c>
      <c r="M24" s="4"/>
      <c r="N24" s="5">
        <v>24.7</v>
      </c>
      <c r="O24" s="17">
        <v>2.1</v>
      </c>
    </row>
    <row r="25" spans="1:15" x14ac:dyDescent="0.35">
      <c r="A25" s="2">
        <v>35</v>
      </c>
      <c r="B25" s="2" t="str">
        <v>Holm et al., 2010</v>
      </c>
      <c r="C25" s="2" t="str">
        <v>BPTB, HT</v>
      </c>
      <c r="D25" s="1" t="str" cm="1">
        <f t="array" ref="D25:E25">_xlfn.TEXTSPLIT(C25, ", ")</f>
        <v>BPTB</v>
      </c>
      <c r="E25" s="3" t="str">
        <v>HT</v>
      </c>
      <c r="F25" s="4"/>
      <c r="G25" s="5"/>
      <c r="H25" s="5" t="str">
        <v>35.9 ± 0</v>
      </c>
      <c r="I25" s="4"/>
      <c r="J25" s="3">
        <f t="shared" si="0"/>
        <v>57</v>
      </c>
      <c r="K25" s="5">
        <v>33</v>
      </c>
      <c r="L25" s="5">
        <v>24</v>
      </c>
      <c r="M25" s="4"/>
      <c r="N25" s="5">
        <v>10.5</v>
      </c>
      <c r="O25" s="17">
        <v>0.9</v>
      </c>
    </row>
    <row r="26" spans="1:15" x14ac:dyDescent="0.35">
      <c r="A26" s="2">
        <v>36</v>
      </c>
      <c r="B26" s="2" t="str">
        <v>Horstmann et al., 2022</v>
      </c>
      <c r="C26" s="2" t="str">
        <v>HT, QT</v>
      </c>
      <c r="D26" s="1" t="str" cm="1">
        <f t="array" ref="D26:E26">_xlfn.TEXTSPLIT(C26, ", ")</f>
        <v>HT</v>
      </c>
      <c r="E26" s="3" t="str">
        <v>QT</v>
      </c>
      <c r="F26" s="4"/>
      <c r="G26" s="5"/>
      <c r="H26" s="5" t="str">
        <v>28.4 ± 8</v>
      </c>
      <c r="I26" s="4"/>
      <c r="J26" s="3">
        <f t="shared" si="0"/>
        <v>51</v>
      </c>
      <c r="K26" s="5">
        <v>33</v>
      </c>
      <c r="L26" s="5">
        <v>18</v>
      </c>
      <c r="M26" s="4"/>
      <c r="N26" s="5">
        <v>24</v>
      </c>
      <c r="O26" s="17">
        <v>2</v>
      </c>
    </row>
    <row r="27" spans="1:15" x14ac:dyDescent="0.35">
      <c r="A27" s="2">
        <v>37</v>
      </c>
      <c r="B27" s="2" t="str">
        <v>Ibrahim et al., 2005</v>
      </c>
      <c r="C27" s="2" t="str">
        <v>BPTB, HT</v>
      </c>
      <c r="D27" s="1" t="str" cm="1">
        <f t="array" ref="D27:E27">_xlfn.TEXTSPLIT(C27, ", ")</f>
        <v>BPTB</v>
      </c>
      <c r="E27" s="3" t="str">
        <v>HT</v>
      </c>
      <c r="F27" s="4"/>
      <c r="G27" s="5"/>
      <c r="H27" s="5" t="str">
        <v>22.3 ± 8</v>
      </c>
      <c r="I27" s="4"/>
      <c r="J27" s="3">
        <f t="shared" si="0"/>
        <v>86</v>
      </c>
      <c r="K27" s="5">
        <v>86</v>
      </c>
      <c r="L27" s="5">
        <v>0</v>
      </c>
      <c r="M27" s="4"/>
      <c r="N27" s="5">
        <v>81</v>
      </c>
      <c r="O27" s="17">
        <v>6.8</v>
      </c>
    </row>
    <row r="28" spans="1:15" x14ac:dyDescent="0.35">
      <c r="A28" s="2">
        <v>38</v>
      </c>
      <c r="B28" s="2" t="str">
        <v>Iliopoulos et al., 2017</v>
      </c>
      <c r="C28" s="2" t="str">
        <v>BPTB, HT</v>
      </c>
      <c r="D28" s="1" t="str" cm="1">
        <f t="array" ref="D28:E28">_xlfn.TEXTSPLIT(C28, ", ")</f>
        <v>BPTB</v>
      </c>
      <c r="E28" s="3" t="str">
        <v>HT</v>
      </c>
      <c r="F28" s="4"/>
      <c r="G28" s="5"/>
      <c r="H28" s="5" t="str">
        <v>25.8 ± 9.6</v>
      </c>
      <c r="I28" s="4"/>
      <c r="J28" s="3">
        <f t="shared" si="0"/>
        <v>20</v>
      </c>
      <c r="K28" s="5">
        <v>20</v>
      </c>
      <c r="L28" s="5">
        <v>0</v>
      </c>
      <c r="M28" s="4"/>
      <c r="N28" s="5">
        <v>9</v>
      </c>
      <c r="O28" s="17">
        <v>0.8</v>
      </c>
    </row>
    <row r="29" spans="1:15" x14ac:dyDescent="0.35">
      <c r="A29" s="2">
        <v>41</v>
      </c>
      <c r="B29" s="2" t="str">
        <v>Jansson et al., 2003</v>
      </c>
      <c r="C29" s="2" t="str">
        <v>BPTB, HT</v>
      </c>
      <c r="D29" s="1" t="str" cm="1">
        <f t="array" ref="D29:E29">_xlfn.TEXTSPLIT(C29, ", ")</f>
        <v>BPTB</v>
      </c>
      <c r="E29" s="3" t="str">
        <v>HT</v>
      </c>
      <c r="F29" s="4"/>
      <c r="G29" s="5"/>
      <c r="H29" s="5" t="str">
        <v xml:space="preserve"> ± 3.9</v>
      </c>
      <c r="I29" s="4"/>
      <c r="J29" s="3">
        <f t="shared" si="0"/>
        <v>0</v>
      </c>
      <c r="K29" s="5">
        <v>0</v>
      </c>
      <c r="L29" s="5">
        <v>0</v>
      </c>
      <c r="M29" s="4"/>
      <c r="N29" s="5">
        <v>24</v>
      </c>
      <c r="O29" s="17">
        <v>2</v>
      </c>
    </row>
    <row r="30" spans="1:15" x14ac:dyDescent="0.35">
      <c r="A30" s="2">
        <v>43</v>
      </c>
      <c r="B30" s="2" t="str">
        <v>Kautzner et al., 2015</v>
      </c>
      <c r="C30" s="2" t="str">
        <v>BPTB, HT</v>
      </c>
      <c r="D30" s="1" t="str" cm="1">
        <f t="array" ref="D30:E30">_xlfn.TEXTSPLIT(C30, ", ")</f>
        <v>BPTB</v>
      </c>
      <c r="E30" s="3" t="str">
        <v>HT</v>
      </c>
      <c r="F30" s="4"/>
      <c r="G30" s="5"/>
      <c r="H30" s="5" t="str">
        <v>26 ± 6.1</v>
      </c>
      <c r="I30" s="4"/>
      <c r="J30" s="3">
        <f t="shared" si="0"/>
        <v>147</v>
      </c>
      <c r="K30" s="5">
        <v>0</v>
      </c>
      <c r="L30" s="5">
        <v>147</v>
      </c>
      <c r="M30" s="4"/>
      <c r="N30" s="5">
        <v>24</v>
      </c>
      <c r="O30" s="17">
        <v>2</v>
      </c>
    </row>
    <row r="31" spans="1:15" x14ac:dyDescent="0.35">
      <c r="A31" s="2">
        <v>44</v>
      </c>
      <c r="B31" s="2" t="str">
        <v>Komzak et al., 2022</v>
      </c>
      <c r="C31" s="2" t="str">
        <v>BPTB, QT</v>
      </c>
      <c r="D31" s="1" t="str" cm="1">
        <f t="array" ref="D31:E31">_xlfn.TEXTSPLIT(C31, ", ")</f>
        <v>BPTB</v>
      </c>
      <c r="E31" s="3" t="str">
        <v>QT</v>
      </c>
      <c r="F31" s="4"/>
      <c r="G31" s="5"/>
      <c r="H31" s="5" t="str">
        <v>30.4 ± 0</v>
      </c>
      <c r="I31" s="4"/>
      <c r="J31" s="3">
        <f t="shared" si="0"/>
        <v>80</v>
      </c>
      <c r="K31" s="5">
        <v>44</v>
      </c>
      <c r="L31" s="5">
        <v>36</v>
      </c>
      <c r="M31" s="4"/>
      <c r="N31" s="5">
        <v>28</v>
      </c>
      <c r="O31" s="17">
        <v>2.2999999999999998</v>
      </c>
    </row>
    <row r="32" spans="1:15" x14ac:dyDescent="0.35">
      <c r="A32" s="2">
        <v>45</v>
      </c>
      <c r="B32" s="2" t="str">
        <v>Konrads et al., 2016</v>
      </c>
      <c r="C32" s="2" t="str">
        <v>BPTB, HT</v>
      </c>
      <c r="D32" s="1" t="str" cm="1">
        <f t="array" ref="D32:E32">_xlfn.TEXTSPLIT(C32, ", ")</f>
        <v>BPTB</v>
      </c>
      <c r="E32" s="3" t="str">
        <v>HT</v>
      </c>
      <c r="F32" s="4"/>
      <c r="G32" s="5"/>
      <c r="H32" s="5" t="str">
        <v>29.8 ± 6.3</v>
      </c>
      <c r="I32" s="4"/>
      <c r="J32" s="3">
        <f t="shared" si="0"/>
        <v>62</v>
      </c>
      <c r="K32" s="5">
        <v>45</v>
      </c>
      <c r="L32" s="5">
        <v>17</v>
      </c>
      <c r="M32" s="4"/>
      <c r="N32" s="5">
        <v>120</v>
      </c>
      <c r="O32" s="17">
        <v>10</v>
      </c>
    </row>
    <row r="33" spans="1:15" x14ac:dyDescent="0.35">
      <c r="A33" s="2">
        <v>46</v>
      </c>
      <c r="B33" s="2" t="str">
        <v>Laoruengthana et al., 2009</v>
      </c>
      <c r="C33" s="2" t="str">
        <v>BPTB, HT</v>
      </c>
      <c r="D33" s="1" t="str" cm="1">
        <f t="array" ref="D33:E33">_xlfn.TEXTSPLIT(C33, ", ")</f>
        <v>BPTB</v>
      </c>
      <c r="E33" s="3" t="str">
        <v>HT</v>
      </c>
      <c r="F33" s="4"/>
      <c r="G33" s="5"/>
      <c r="H33" s="5" t="str">
        <v>29.3 ± 9.4</v>
      </c>
      <c r="I33" s="4"/>
      <c r="J33" s="3">
        <f t="shared" si="0"/>
        <v>0</v>
      </c>
      <c r="K33" s="5">
        <v>0</v>
      </c>
      <c r="L33" s="5">
        <v>0</v>
      </c>
      <c r="M33" s="4"/>
      <c r="N33" s="5">
        <v>19</v>
      </c>
      <c r="O33" s="17">
        <v>1.6</v>
      </c>
    </row>
    <row r="34" spans="1:15" x14ac:dyDescent="0.35">
      <c r="A34" s="2">
        <v>47</v>
      </c>
      <c r="B34" s="2" t="str">
        <v>Lawhorn et al., 2012</v>
      </c>
      <c r="C34" s="2" t="str">
        <v>HT, TA</v>
      </c>
      <c r="D34" s="1" t="str" cm="1">
        <f t="array" ref="D34:E34">_xlfn.TEXTSPLIT(C34, ", ")</f>
        <v>HT</v>
      </c>
      <c r="E34" s="3" t="str">
        <v>TA</v>
      </c>
      <c r="F34" s="4"/>
      <c r="G34" s="5"/>
      <c r="H34" s="5" t="str">
        <v>32.5 ± 6.3</v>
      </c>
      <c r="I34" s="4"/>
      <c r="J34" s="3">
        <f t="shared" si="0"/>
        <v>102</v>
      </c>
      <c r="K34" s="5">
        <v>70</v>
      </c>
      <c r="L34" s="5">
        <v>32</v>
      </c>
      <c r="M34" s="4"/>
      <c r="N34" s="5">
        <v>24</v>
      </c>
      <c r="O34" s="17">
        <v>2</v>
      </c>
    </row>
    <row r="35" spans="1:15" x14ac:dyDescent="0.35">
      <c r="A35" s="2">
        <v>49</v>
      </c>
      <c r="B35" s="2" t="str">
        <v>Laxdal et al., 2005</v>
      </c>
      <c r="C35" s="2" t="str">
        <v>BPTB, HT</v>
      </c>
      <c r="D35" s="1" t="str" cm="1">
        <f t="array" ref="D35:E35">_xlfn.TEXTSPLIT(C35, ", ")</f>
        <v>BPTB</v>
      </c>
      <c r="E35" s="3" t="str">
        <v>HT</v>
      </c>
      <c r="F35" s="4"/>
      <c r="G35" s="5"/>
      <c r="H35" s="5" t="str">
        <v>26.5 ± 8.9</v>
      </c>
      <c r="I35" s="4"/>
      <c r="J35" s="3">
        <f t="shared" si="0"/>
        <v>0</v>
      </c>
      <c r="K35" s="5">
        <v>0</v>
      </c>
      <c r="L35" s="5">
        <v>0</v>
      </c>
      <c r="M35" s="4"/>
      <c r="N35" s="5">
        <v>26</v>
      </c>
      <c r="O35" s="17">
        <v>2.2000000000000002</v>
      </c>
    </row>
    <row r="36" spans="1:15" x14ac:dyDescent="0.35">
      <c r="A36" s="2">
        <v>51</v>
      </c>
      <c r="B36" s="2" t="str">
        <v>Li et al., 2015</v>
      </c>
      <c r="C36" s="2" t="str">
        <v>HT, TA</v>
      </c>
      <c r="D36" s="1" t="str" cm="1">
        <f t="array" ref="D36:E36">_xlfn.TEXTSPLIT(C36, ", ")</f>
        <v>HT</v>
      </c>
      <c r="E36" s="3" t="str">
        <v>TA</v>
      </c>
      <c r="F36" s="4"/>
      <c r="G36" s="5"/>
      <c r="H36" s="5" t="str">
        <v>30.2 ± 8.3</v>
      </c>
      <c r="I36" s="4"/>
      <c r="J36" s="3">
        <f t="shared" si="0"/>
        <v>64</v>
      </c>
      <c r="K36" s="5">
        <v>32</v>
      </c>
      <c r="L36" s="5">
        <v>32</v>
      </c>
      <c r="M36" s="4"/>
      <c r="N36" s="5">
        <v>71.400000000000006</v>
      </c>
      <c r="O36" s="17">
        <v>6</v>
      </c>
    </row>
    <row r="37" spans="1:15" x14ac:dyDescent="0.35">
      <c r="A37" s="2">
        <v>52</v>
      </c>
      <c r="B37" s="2" t="str">
        <v>Lidén et al., 2007</v>
      </c>
      <c r="C37" s="2" t="str">
        <v>BPTB, HT</v>
      </c>
      <c r="D37" s="1" t="str" cm="1">
        <f t="array" ref="D37:E37">_xlfn.TEXTSPLIT(C37, ", ")</f>
        <v>BPTB</v>
      </c>
      <c r="E37" s="3" t="str">
        <v>HT</v>
      </c>
      <c r="F37" s="4"/>
      <c r="G37" s="5"/>
      <c r="H37" s="5" t="str">
        <v>28.5 ± 6.8</v>
      </c>
      <c r="I37" s="4"/>
      <c r="J37" s="3">
        <f t="shared" si="0"/>
        <v>71</v>
      </c>
      <c r="K37" s="5">
        <v>49</v>
      </c>
      <c r="L37" s="5">
        <v>22</v>
      </c>
      <c r="M37" s="4"/>
      <c r="N37" s="5">
        <v>87.1</v>
      </c>
      <c r="O37" s="17">
        <v>7.3</v>
      </c>
    </row>
    <row r="38" spans="1:15" x14ac:dyDescent="0.35">
      <c r="A38" s="2">
        <v>53</v>
      </c>
      <c r="B38" s="2" t="str">
        <v>Lind et al., 2020</v>
      </c>
      <c r="C38" s="2" t="str">
        <v>HT, QT</v>
      </c>
      <c r="D38" s="1" t="str" cm="1">
        <f t="array" ref="D38:E38">_xlfn.TEXTSPLIT(C38, ", ")</f>
        <v>HT</v>
      </c>
      <c r="E38" s="3" t="str">
        <v>QT</v>
      </c>
      <c r="F38" s="4"/>
      <c r="G38" s="5"/>
      <c r="H38" s="5" t="str">
        <v>27.2 ± 7</v>
      </c>
      <c r="I38" s="4"/>
      <c r="J38" s="3">
        <f t="shared" si="0"/>
        <v>99</v>
      </c>
      <c r="K38" s="5">
        <v>54</v>
      </c>
      <c r="L38" s="5">
        <v>45</v>
      </c>
      <c r="M38" s="4"/>
      <c r="N38" s="5">
        <v>24</v>
      </c>
      <c r="O38" s="17">
        <v>2</v>
      </c>
    </row>
    <row r="39" spans="1:15" x14ac:dyDescent="0.35">
      <c r="A39" s="2">
        <v>54</v>
      </c>
      <c r="B39" s="2" t="str">
        <v>Lucidi et al., 2025</v>
      </c>
      <c r="C39" s="2" t="str">
        <v>BPTB, HT</v>
      </c>
      <c r="D39" s="1" t="str" cm="1">
        <f t="array" ref="D39:E39">_xlfn.TEXTSPLIT(C39, ", ")</f>
        <v>BPTB</v>
      </c>
      <c r="E39" s="3" t="str">
        <v>HT</v>
      </c>
      <c r="F39" s="4"/>
      <c r="G39" s="5"/>
      <c r="H39" s="5" t="str">
        <v>53.7 ± 9.4</v>
      </c>
      <c r="I39" s="4"/>
      <c r="J39" s="3">
        <f t="shared" si="0"/>
        <v>0</v>
      </c>
      <c r="K39" s="5">
        <v>0</v>
      </c>
      <c r="L39" s="5">
        <v>0</v>
      </c>
      <c r="M39" s="4"/>
      <c r="N39" s="5">
        <v>240</v>
      </c>
      <c r="O39" s="17">
        <v>20</v>
      </c>
    </row>
    <row r="40" spans="1:15" x14ac:dyDescent="0.35">
      <c r="A40" s="2">
        <v>55</v>
      </c>
      <c r="B40" s="2" t="str">
        <v>Lui et al., 2012</v>
      </c>
      <c r="C40" s="2" t="str">
        <v>BPTB, HT</v>
      </c>
      <c r="D40" s="1" t="str" cm="1">
        <f t="array" ref="D40:E40">_xlfn.TEXTSPLIT(C40, ", ")</f>
        <v>BPTB</v>
      </c>
      <c r="E40" s="3" t="str">
        <v>HT</v>
      </c>
      <c r="F40" s="4"/>
      <c r="G40" s="5"/>
      <c r="H40" s="5" t="str">
        <v>25.5 ± 11.9</v>
      </c>
      <c r="I40" s="4"/>
      <c r="J40" s="3">
        <f t="shared" si="0"/>
        <v>55</v>
      </c>
      <c r="K40" s="5">
        <v>55</v>
      </c>
      <c r="L40" s="5">
        <v>0</v>
      </c>
      <c r="M40" s="4"/>
      <c r="N40" s="5">
        <v>12</v>
      </c>
      <c r="O40" s="17">
        <v>1</v>
      </c>
    </row>
    <row r="41" spans="1:15" x14ac:dyDescent="0.35">
      <c r="A41" s="2">
        <v>56</v>
      </c>
      <c r="B41" s="2" t="str">
        <v>Lund et al., 2014</v>
      </c>
      <c r="C41" s="2" t="str">
        <v>BPTB, QT</v>
      </c>
      <c r="D41" s="1" t="str" cm="1">
        <f t="array" ref="D41:E41">_xlfn.TEXTSPLIT(C41, ", ")</f>
        <v>BPTB</v>
      </c>
      <c r="E41" s="3" t="str">
        <v>QT</v>
      </c>
      <c r="F41" s="4"/>
      <c r="G41" s="5"/>
      <c r="H41" s="5" t="str">
        <v>30.5 ± 14.7</v>
      </c>
      <c r="I41" s="4"/>
      <c r="J41" s="3">
        <f t="shared" si="0"/>
        <v>39</v>
      </c>
      <c r="K41" s="5">
        <v>32</v>
      </c>
      <c r="L41" s="5">
        <v>7</v>
      </c>
      <c r="M41" s="4"/>
      <c r="N41" s="5">
        <v>24</v>
      </c>
      <c r="O41" s="17">
        <v>2</v>
      </c>
    </row>
    <row r="42" spans="1:15" x14ac:dyDescent="0.35">
      <c r="A42" s="2">
        <v>58</v>
      </c>
      <c r="B42" s="2" t="str">
        <v>Malik et al., 2026</v>
      </c>
      <c r="C42" s="2" t="str">
        <v>HT, PLT</v>
      </c>
      <c r="D42" s="1" t="str" cm="1">
        <f t="array" ref="D42:E42">_xlfn.TEXTSPLIT(C42, ", ")</f>
        <v>HT</v>
      </c>
      <c r="E42" s="3" t="str">
        <v>PLT</v>
      </c>
      <c r="F42" s="4"/>
      <c r="G42" s="5"/>
      <c r="H42" s="5" t="str">
        <v>28 ± 4.7</v>
      </c>
      <c r="I42" s="4"/>
      <c r="J42" s="3">
        <f t="shared" si="0"/>
        <v>50</v>
      </c>
      <c r="K42" s="5">
        <v>35</v>
      </c>
      <c r="L42" s="5">
        <v>15</v>
      </c>
      <c r="M42" s="4"/>
      <c r="N42" s="5">
        <v>6</v>
      </c>
      <c r="O42" s="17">
        <v>0.5</v>
      </c>
    </row>
    <row r="43" spans="1:15" x14ac:dyDescent="0.35">
      <c r="A43" s="2">
        <v>62</v>
      </c>
      <c r="B43" s="2" t="str">
        <v>Matsumoto et al., 2006</v>
      </c>
      <c r="C43" s="2" t="str">
        <v>BPTB, HT</v>
      </c>
      <c r="D43" s="1" t="str" cm="1">
        <f t="array" ref="D43:E43">_xlfn.TEXTSPLIT(C43, ", ")</f>
        <v>BPTB</v>
      </c>
      <c r="E43" s="3" t="str">
        <v>HT</v>
      </c>
      <c r="F43" s="4"/>
      <c r="G43" s="5"/>
      <c r="H43" s="5" t="str">
        <v>24.1 ± 8.5</v>
      </c>
      <c r="I43" s="4"/>
      <c r="J43" s="3">
        <f t="shared" si="0"/>
        <v>72</v>
      </c>
      <c r="K43" s="5">
        <v>41</v>
      </c>
      <c r="L43" s="5">
        <v>31</v>
      </c>
      <c r="M43" s="4"/>
      <c r="N43" s="5">
        <v>83.9</v>
      </c>
      <c r="O43" s="17">
        <v>7</v>
      </c>
    </row>
    <row r="44" spans="1:15" x14ac:dyDescent="0.35">
      <c r="A44" s="2">
        <v>66</v>
      </c>
      <c r="B44" s="2" t="str">
        <v>Mohtadi et al., 2016</v>
      </c>
      <c r="C44" s="2" t="str">
        <v>BPTB, HT</v>
      </c>
      <c r="D44" s="1" t="str" cm="1">
        <f t="array" ref="D44:E44">_xlfn.TEXTSPLIT(C44, ", ")</f>
        <v>BPTB</v>
      </c>
      <c r="E44" s="3" t="str">
        <v>HT</v>
      </c>
      <c r="F44" s="4"/>
      <c r="G44" s="5"/>
      <c r="H44" s="5" t="str">
        <v>28.5 ± 6.5</v>
      </c>
      <c r="I44" s="4"/>
      <c r="J44" s="3">
        <f t="shared" si="0"/>
        <v>330</v>
      </c>
      <c r="K44" s="5">
        <v>179</v>
      </c>
      <c r="L44" s="5">
        <v>151</v>
      </c>
      <c r="M44" s="4"/>
      <c r="N44" s="5">
        <v>24</v>
      </c>
      <c r="O44" s="17">
        <v>2</v>
      </c>
    </row>
    <row r="45" spans="1:15" x14ac:dyDescent="0.35">
      <c r="A45" s="2">
        <v>68</v>
      </c>
      <c r="B45" s="2" t="str">
        <v>Moraiti et al., 2010</v>
      </c>
      <c r="C45" s="2" t="str">
        <v>BPTB, HT</v>
      </c>
      <c r="D45" s="1" t="str" cm="1">
        <f t="array" ref="D45:E45">_xlfn.TEXTSPLIT(C45, ", ")</f>
        <v>BPTB</v>
      </c>
      <c r="E45" s="3" t="str">
        <v>HT</v>
      </c>
      <c r="F45" s="4"/>
      <c r="G45" s="5"/>
      <c r="H45" s="5" t="str">
        <v>23.5 ± 9.6</v>
      </c>
      <c r="I45" s="4"/>
      <c r="J45" s="3">
        <f t="shared" si="0"/>
        <v>12</v>
      </c>
      <c r="K45" s="5">
        <v>12</v>
      </c>
      <c r="L45" s="5">
        <v>0</v>
      </c>
      <c r="M45" s="4"/>
      <c r="N45" s="5">
        <v>23</v>
      </c>
      <c r="O45" s="17">
        <v>2</v>
      </c>
    </row>
    <row r="46" spans="1:15" x14ac:dyDescent="0.35">
      <c r="A46" s="2">
        <v>70</v>
      </c>
      <c r="B46" s="2" t="str">
        <v>Noh et al., 2011</v>
      </c>
      <c r="C46" s="2" t="str">
        <v>HT, AT</v>
      </c>
      <c r="D46" s="1" t="str" cm="1">
        <f t="array" ref="D46:E46">_xlfn.TEXTSPLIT(C46, ", ")</f>
        <v>HT</v>
      </c>
      <c r="E46" s="3" t="str">
        <v>AT</v>
      </c>
      <c r="F46" s="4"/>
      <c r="G46" s="5"/>
      <c r="H46" s="5" t="str">
        <v>25.7 ± 9.8</v>
      </c>
      <c r="I46" s="4"/>
      <c r="J46" s="3">
        <f t="shared" si="0"/>
        <v>65</v>
      </c>
      <c r="K46" s="5">
        <v>56</v>
      </c>
      <c r="L46" s="5">
        <v>9</v>
      </c>
      <c r="M46" s="4"/>
      <c r="N46" s="5">
        <v>29.9</v>
      </c>
      <c r="O46" s="17">
        <v>2.5</v>
      </c>
    </row>
    <row r="47" spans="1:15" x14ac:dyDescent="0.35">
      <c r="A47" s="2">
        <v>73</v>
      </c>
      <c r="B47" s="2" t="str">
        <v>Papalia et al., 2015</v>
      </c>
      <c r="C47" s="2" t="str">
        <v>BPTB, HT</v>
      </c>
      <c r="D47" s="1" t="str" cm="1">
        <f t="array" ref="D47:E47">_xlfn.TEXTSPLIT(C47, ", ")</f>
        <v>BPTB</v>
      </c>
      <c r="E47" s="3" t="str">
        <v>HT</v>
      </c>
      <c r="F47" s="4"/>
      <c r="G47" s="5"/>
      <c r="H47" s="5" t="str">
        <v>25.1 ± 2.5</v>
      </c>
      <c r="I47" s="4"/>
      <c r="J47" s="3">
        <f t="shared" si="0"/>
        <v>40</v>
      </c>
      <c r="K47" s="5">
        <v>0</v>
      </c>
      <c r="L47" s="5">
        <v>40</v>
      </c>
      <c r="M47" s="4"/>
      <c r="N47" s="5">
        <v>6</v>
      </c>
      <c r="O47" s="17">
        <v>0.5</v>
      </c>
    </row>
    <row r="48" spans="1:15" x14ac:dyDescent="0.35">
      <c r="A48" s="2">
        <v>76</v>
      </c>
      <c r="B48" s="2" t="str">
        <v>Pinczewski et al., 2007</v>
      </c>
      <c r="C48" s="2" t="str">
        <v>BPTB, HT</v>
      </c>
      <c r="D48" s="1" t="str" cm="1">
        <f t="array" ref="D48:E48">_xlfn.TEXTSPLIT(C48, ", ")</f>
        <v>BPTB</v>
      </c>
      <c r="E48" s="3" t="str">
        <v>HT</v>
      </c>
      <c r="F48" s="4"/>
      <c r="G48" s="5"/>
      <c r="H48" s="5" t="str">
        <v>24.5 ± 7.9</v>
      </c>
      <c r="I48" s="4"/>
      <c r="J48" s="3">
        <f t="shared" si="0"/>
        <v>180</v>
      </c>
      <c r="K48" s="5">
        <v>95</v>
      </c>
      <c r="L48" s="5">
        <v>85</v>
      </c>
      <c r="M48" s="4"/>
      <c r="N48" s="5">
        <v>120</v>
      </c>
      <c r="O48" s="17">
        <v>10</v>
      </c>
    </row>
    <row r="49" spans="1:15" x14ac:dyDescent="0.35">
      <c r="A49" s="2">
        <v>77</v>
      </c>
      <c r="B49" s="2" t="str">
        <v>Popovic et al., 2024</v>
      </c>
      <c r="C49" s="2" t="str">
        <v>BPTB, HT</v>
      </c>
      <c r="D49" s="1" t="str" cm="1">
        <f t="array" ref="D49:E49">_xlfn.TEXTSPLIT(C49, ", ")</f>
        <v>BPTB</v>
      </c>
      <c r="E49" s="3" t="str">
        <v>HT</v>
      </c>
      <c r="F49" s="4"/>
      <c r="G49" s="5"/>
      <c r="H49" s="5" t="str">
        <v>27 ± 0.4</v>
      </c>
      <c r="I49" s="4"/>
      <c r="J49" s="3">
        <f t="shared" si="0"/>
        <v>0</v>
      </c>
      <c r="K49" s="5">
        <v>0</v>
      </c>
      <c r="L49" s="5">
        <v>0</v>
      </c>
      <c r="M49" s="4"/>
      <c r="N49" s="5">
        <v>228</v>
      </c>
      <c r="O49" s="17">
        <v>19</v>
      </c>
    </row>
    <row r="50" spans="1:15" x14ac:dyDescent="0.35">
      <c r="A50" s="2">
        <v>82</v>
      </c>
      <c r="B50" s="2" t="str">
        <v>Sajovic et al., 2018</v>
      </c>
      <c r="C50" s="2" t="str">
        <v>BPTB, HT</v>
      </c>
      <c r="D50" s="1" t="str" cm="1">
        <f t="array" ref="D50:E50">_xlfn.TEXTSPLIT(C50, ", ")</f>
        <v>BPTB</v>
      </c>
      <c r="E50" s="3" t="str">
        <v>HT</v>
      </c>
      <c r="F50" s="4"/>
      <c r="G50" s="5"/>
      <c r="H50" s="5" t="str">
        <v>44 ± 6.8</v>
      </c>
      <c r="I50" s="4"/>
      <c r="J50" s="3">
        <f t="shared" si="0"/>
        <v>48</v>
      </c>
      <c r="K50" s="5">
        <v>28</v>
      </c>
      <c r="L50" s="5">
        <v>20</v>
      </c>
      <c r="M50" s="4"/>
      <c r="N50" s="5">
        <v>204</v>
      </c>
      <c r="O50" s="17">
        <v>17</v>
      </c>
    </row>
    <row r="51" spans="1:15" x14ac:dyDescent="0.35">
      <c r="A51" s="2">
        <v>84</v>
      </c>
      <c r="B51" s="2" t="str">
        <v>Sinding et al., 2020</v>
      </c>
      <c r="C51" s="2" t="str">
        <v>HT, QT</v>
      </c>
      <c r="D51" s="1" t="str" cm="1">
        <f t="array" ref="D51:E51">_xlfn.TEXTSPLIT(C51, ", ")</f>
        <v>HT</v>
      </c>
      <c r="E51" s="3" t="str">
        <v>QT</v>
      </c>
      <c r="F51" s="4"/>
      <c r="G51" s="5"/>
      <c r="H51" s="5" t="str">
        <v>28.5 ± 6.5</v>
      </c>
      <c r="I51" s="4"/>
      <c r="J51" s="3">
        <f t="shared" si="0"/>
        <v>85</v>
      </c>
      <c r="K51" s="5">
        <v>48</v>
      </c>
      <c r="L51" s="5">
        <v>37</v>
      </c>
      <c r="M51" s="4"/>
      <c r="N51" s="5">
        <v>12.5</v>
      </c>
      <c r="O51" s="17">
        <v>1</v>
      </c>
    </row>
    <row r="52" spans="1:15" x14ac:dyDescent="0.35">
      <c r="A52" s="2">
        <v>85</v>
      </c>
      <c r="B52" s="2" t="str">
        <v>Smith et al., 2020</v>
      </c>
      <c r="C52" s="2" t="str">
        <v>BPTB, HT</v>
      </c>
      <c r="D52" s="1" t="str" cm="1">
        <f t="array" ref="D52:E52">_xlfn.TEXTSPLIT(C52, ", ")</f>
        <v>BPTB</v>
      </c>
      <c r="E52" s="3" t="str">
        <v>HT</v>
      </c>
      <c r="F52" s="4"/>
      <c r="G52" s="5"/>
      <c r="H52" s="5" t="str">
        <v>17.7 ± 8.2</v>
      </c>
      <c r="I52" s="4"/>
      <c r="J52" s="3">
        <f t="shared" si="0"/>
        <v>64</v>
      </c>
      <c r="K52" s="5">
        <v>28</v>
      </c>
      <c r="L52" s="5">
        <v>36</v>
      </c>
      <c r="M52" s="4"/>
      <c r="N52" s="5">
        <v>24</v>
      </c>
      <c r="O52" s="17">
        <v>2</v>
      </c>
    </row>
    <row r="53" spans="1:15" x14ac:dyDescent="0.35">
      <c r="A53" s="2">
        <v>87</v>
      </c>
      <c r="B53" s="2" t="str">
        <v>Sonnery-Cottet et al., 2026</v>
      </c>
      <c r="C53" s="2" t="str">
        <v>BPTB, HT</v>
      </c>
      <c r="D53" s="1" t="str" cm="1">
        <f t="array" ref="D53:E53">_xlfn.TEXTSPLIT(C53, ", ")</f>
        <v>BPTB</v>
      </c>
      <c r="E53" s="3" t="str">
        <v>HT</v>
      </c>
      <c r="F53" s="4"/>
      <c r="G53" s="5"/>
      <c r="H53" s="5" t="str">
        <v>25 ± 6.3</v>
      </c>
      <c r="I53" s="4"/>
      <c r="J53" s="3">
        <f t="shared" si="0"/>
        <v>556</v>
      </c>
      <c r="K53" s="5">
        <v>447</v>
      </c>
      <c r="L53" s="5">
        <v>109</v>
      </c>
      <c r="M53" s="4"/>
      <c r="N53" s="5">
        <v>62.7</v>
      </c>
      <c r="O53" s="17">
        <v>5.2</v>
      </c>
    </row>
    <row r="54" spans="1:15" x14ac:dyDescent="0.35">
      <c r="A54" s="2">
        <v>89</v>
      </c>
      <c r="B54" s="2" t="str">
        <v>Tang et al., 2023</v>
      </c>
      <c r="C54" s="2" t="str">
        <v>HT, QT</v>
      </c>
      <c r="D54" s="1" t="str" cm="1">
        <f t="array" ref="D54:E54">_xlfn.TEXTSPLIT(C54, ", ")</f>
        <v>HT</v>
      </c>
      <c r="E54" s="3" t="str">
        <v>QT</v>
      </c>
      <c r="F54" s="4"/>
      <c r="G54" s="5"/>
      <c r="H54" s="5" t="str">
        <v>28.2 ± 2.4</v>
      </c>
      <c r="I54" s="4"/>
      <c r="J54" s="3">
        <f t="shared" si="0"/>
        <v>33</v>
      </c>
      <c r="K54" s="5">
        <v>30</v>
      </c>
      <c r="L54" s="5">
        <v>3</v>
      </c>
      <c r="M54" s="4"/>
      <c r="N54" s="5">
        <v>24</v>
      </c>
      <c r="O54" s="17">
        <v>2</v>
      </c>
    </row>
    <row r="55" spans="1:15" x14ac:dyDescent="0.35">
      <c r="A55" s="2">
        <v>90</v>
      </c>
      <c r="B55" s="2" t="str">
        <v>Taylor et al., 2009</v>
      </c>
      <c r="C55" s="2" t="str">
        <v>BPTB, HT</v>
      </c>
      <c r="D55" s="1" t="str" cm="1">
        <f t="array" ref="D55:E55">_xlfn.TEXTSPLIT(C55, ", ")</f>
        <v>BPTB</v>
      </c>
      <c r="E55" s="3" t="str">
        <v>HT</v>
      </c>
      <c r="F55" s="4"/>
      <c r="G55" s="5"/>
      <c r="H55" s="5" t="str">
        <v>21.9 ± 4.5</v>
      </c>
      <c r="I55" s="4"/>
      <c r="J55" s="3">
        <f t="shared" si="0"/>
        <v>64</v>
      </c>
      <c r="K55" s="5">
        <v>53</v>
      </c>
      <c r="L55" s="5">
        <v>11</v>
      </c>
      <c r="M55" s="4"/>
      <c r="N55" s="5">
        <v>35.4</v>
      </c>
      <c r="O55" s="17">
        <v>3</v>
      </c>
    </row>
    <row r="56" spans="1:15" x14ac:dyDescent="0.35">
      <c r="A56" s="2">
        <v>93</v>
      </c>
      <c r="B56" s="2" t="str">
        <v>Vilchez-Cavazos et al., 2020</v>
      </c>
      <c r="C56" s="2" t="str">
        <v>HT, QT</v>
      </c>
      <c r="D56" s="1" t="str" cm="1">
        <f t="array" ref="D56:E56">_xlfn.TEXTSPLIT(C56, ", ")</f>
        <v>HT</v>
      </c>
      <c r="E56" s="3" t="str">
        <v>QT</v>
      </c>
      <c r="F56" s="4"/>
      <c r="G56" s="5"/>
      <c r="H56" s="5" t="str">
        <v>24.5 ± 7.3</v>
      </c>
      <c r="I56" s="4"/>
      <c r="J56" s="3">
        <f t="shared" si="0"/>
        <v>29</v>
      </c>
      <c r="K56" s="5">
        <v>23</v>
      </c>
      <c r="L56" s="5">
        <v>6</v>
      </c>
      <c r="M56" s="4"/>
      <c r="N56" s="5">
        <v>12</v>
      </c>
      <c r="O56" s="17">
        <v>1</v>
      </c>
    </row>
    <row r="57" spans="1:15" x14ac:dyDescent="0.35">
      <c r="A57" s="2">
        <v>95</v>
      </c>
      <c r="B57" s="2" t="str">
        <v>Webster et al., 2001</v>
      </c>
      <c r="C57" s="2" t="str">
        <v>BPTB, HT</v>
      </c>
      <c r="D57" s="1" t="str" cm="1">
        <f t="array" ref="D57:E57">_xlfn.TEXTSPLIT(C57, ", ")</f>
        <v>BPTB</v>
      </c>
      <c r="E57" s="3" t="str">
        <v>HT</v>
      </c>
      <c r="F57" s="4"/>
      <c r="G57" s="5"/>
      <c r="H57" s="5" t="str">
        <v>26.5 ± 5.6</v>
      </c>
      <c r="I57" s="4"/>
      <c r="J57" s="3">
        <f t="shared" si="0"/>
        <v>61</v>
      </c>
      <c r="K57" s="5">
        <v>43</v>
      </c>
      <c r="L57" s="5">
        <v>18</v>
      </c>
      <c r="M57" s="4"/>
      <c r="N57" s="5">
        <v>24</v>
      </c>
      <c r="O57" s="17">
        <v>2</v>
      </c>
    </row>
    <row r="58" spans="1:15" x14ac:dyDescent="0.35">
      <c r="A58" s="2">
        <v>96</v>
      </c>
      <c r="B58" s="2" t="str">
        <v>Wipfler et al., 2011</v>
      </c>
      <c r="C58" s="2" t="str">
        <v>BPTB, HT</v>
      </c>
      <c r="D58" s="1" t="str" cm="1">
        <f t="array" ref="D58:E58">_xlfn.TEXTSPLIT(C58, ", ")</f>
        <v>BPTB</v>
      </c>
      <c r="E58" s="3" t="str">
        <v>HT</v>
      </c>
      <c r="F58" s="4"/>
      <c r="G58" s="5"/>
      <c r="H58" s="5" t="str">
        <v>32.1 ± 8.5</v>
      </c>
      <c r="I58" s="4"/>
      <c r="J58" s="3">
        <f t="shared" si="0"/>
        <v>62</v>
      </c>
      <c r="K58" s="5">
        <v>37</v>
      </c>
      <c r="L58" s="5">
        <v>25</v>
      </c>
      <c r="M58" s="4"/>
      <c r="N58" s="5">
        <v>108</v>
      </c>
      <c r="O58" s="17">
        <v>9</v>
      </c>
    </row>
    <row r="59" spans="1:15" x14ac:dyDescent="0.35">
      <c r="A59" s="2">
        <v>97</v>
      </c>
      <c r="B59" s="2" t="str">
        <v>Yadav et al., 2025</v>
      </c>
      <c r="C59" s="2" t="str">
        <v>HT, QT</v>
      </c>
      <c r="D59" s="1" t="str" cm="1">
        <f t="array" ref="D59:E59">_xlfn.TEXTSPLIT(C59, ", ")</f>
        <v>HT</v>
      </c>
      <c r="E59" s="3" t="str">
        <v>QT</v>
      </c>
      <c r="F59" s="6"/>
      <c r="G59" s="7"/>
      <c r="H59" s="7" t="str">
        <v>29.4 ± 6.2</v>
      </c>
      <c r="I59" s="6"/>
      <c r="J59" s="3">
        <f t="shared" si="0"/>
        <v>69</v>
      </c>
      <c r="K59" s="7">
        <v>62</v>
      </c>
      <c r="L59" s="7">
        <v>7</v>
      </c>
      <c r="M59" s="6"/>
      <c r="N59" s="7">
        <v>12</v>
      </c>
      <c r="O59" s="17">
        <v>1</v>
      </c>
    </row>
    <row r="60" spans="1:15" x14ac:dyDescent="0.35">
      <c r="A60" s="2">
        <v>98</v>
      </c>
      <c r="B60" s="2" t="str">
        <v>Yoo et al., 2017</v>
      </c>
      <c r="C60" s="2" t="str">
        <v>HT, TA</v>
      </c>
      <c r="D60" s="1" t="str" cm="1">
        <f t="array" ref="D60:E60">_xlfn.TEXTSPLIT(C60, ", ")</f>
        <v>HT</v>
      </c>
      <c r="E60" s="3" t="str">
        <v>TA</v>
      </c>
      <c r="H60" s="1" t="str">
        <v>27 ± 8.6</v>
      </c>
      <c r="J60" s="3">
        <f t="shared" si="0"/>
        <v>132</v>
      </c>
      <c r="K60" s="1">
        <v>120</v>
      </c>
      <c r="L60" s="1">
        <v>12</v>
      </c>
      <c r="N60" s="1">
        <v>33.700000000000003</v>
      </c>
      <c r="O60" s="17">
        <v>2.8</v>
      </c>
    </row>
    <row r="61" spans="1:15" x14ac:dyDescent="0.35">
      <c r="A61" s="2">
        <v>100</v>
      </c>
      <c r="B61" s="2" t="str">
        <v>Zaffagnini et al., 2011</v>
      </c>
      <c r="C61" s="2" t="str">
        <v>BPTB, HT</v>
      </c>
      <c r="D61" s="1" t="str" cm="1">
        <f t="array" ref="D61:E61">_xlfn.TEXTSPLIT(C61, ", ")</f>
        <v>BPTB</v>
      </c>
      <c r="E61" s="3" t="str">
        <v>HT</v>
      </c>
      <c r="H61" s="1" t="str">
        <v>26.5 ± 8.8</v>
      </c>
      <c r="J61" s="3">
        <f t="shared" si="0"/>
        <v>79</v>
      </c>
      <c r="K61" s="1">
        <v>42</v>
      </c>
      <c r="L61" s="1">
        <v>37</v>
      </c>
      <c r="N61" s="1">
        <v>103.2</v>
      </c>
      <c r="O61" s="17">
        <v>8.6</v>
      </c>
    </row>
  </sheetData>
  <mergeCells count="14">
    <mergeCell ref="N2:O2"/>
    <mergeCell ref="H1:O1"/>
    <mergeCell ref="M2:M3"/>
    <mergeCell ref="I2:I3"/>
    <mergeCell ref="G2:G3"/>
    <mergeCell ref="J2:L2"/>
    <mergeCell ref="A1:A3"/>
    <mergeCell ref="B1:B3"/>
    <mergeCell ref="D1:E1"/>
    <mergeCell ref="F1:F3"/>
    <mergeCell ref="C1:C3"/>
    <mergeCell ref="D2:D3"/>
    <mergeCell ref="E2:E3"/>
    <mergeCell ref="H2:H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FBE14-FED2-43B4-9337-F37202C877CD}">
  <dimension ref="A1:J59"/>
  <sheetViews>
    <sheetView topLeftCell="A38" workbookViewId="0">
      <selection activeCell="A61" activeCellId="1" sqref="A60:XFD60 A61:XFD61"/>
    </sheetView>
  </sheetViews>
  <sheetFormatPr defaultRowHeight="14.6" x14ac:dyDescent="0.4"/>
  <sheetData>
    <row r="1" spans="1:10" x14ac:dyDescent="0.4">
      <c r="A1" t="s">
        <v>68</v>
      </c>
      <c r="B1" t="s">
        <v>69</v>
      </c>
      <c r="C1" t="s">
        <v>70</v>
      </c>
      <c r="D1" t="s">
        <v>71</v>
      </c>
      <c r="E1" t="s">
        <v>72</v>
      </c>
      <c r="F1" t="s">
        <v>73</v>
      </c>
      <c r="G1" t="s">
        <v>74</v>
      </c>
      <c r="H1" t="s">
        <v>75</v>
      </c>
      <c r="I1" t="s">
        <v>76</v>
      </c>
      <c r="J1" t="s">
        <v>77</v>
      </c>
    </row>
    <row r="2" spans="1:10" x14ac:dyDescent="0.4">
      <c r="A2">
        <v>1</v>
      </c>
      <c r="B2" t="s">
        <v>78</v>
      </c>
      <c r="C2" t="s">
        <v>79</v>
      </c>
      <c r="D2">
        <v>36</v>
      </c>
      <c r="E2">
        <v>30</v>
      </c>
      <c r="F2">
        <v>5.0999999999999996</v>
      </c>
      <c r="G2">
        <v>27</v>
      </c>
      <c r="H2">
        <v>9</v>
      </c>
      <c r="I2">
        <v>36</v>
      </c>
      <c r="J2">
        <v>3</v>
      </c>
    </row>
    <row r="3" spans="1:10" x14ac:dyDescent="0.4">
      <c r="A3">
        <v>2</v>
      </c>
      <c r="B3" t="s">
        <v>6</v>
      </c>
      <c r="C3" t="s">
        <v>79</v>
      </c>
      <c r="D3">
        <v>120</v>
      </c>
      <c r="E3">
        <v>25</v>
      </c>
      <c r="F3">
        <v>5.0999999999999996</v>
      </c>
      <c r="G3">
        <v>92</v>
      </c>
      <c r="H3">
        <v>28</v>
      </c>
      <c r="I3">
        <v>24</v>
      </c>
      <c r="J3">
        <v>2</v>
      </c>
    </row>
    <row r="4" spans="1:10" x14ac:dyDescent="0.4">
      <c r="A4">
        <v>3</v>
      </c>
      <c r="B4" t="s">
        <v>9</v>
      </c>
      <c r="C4" t="s">
        <v>79</v>
      </c>
      <c r="D4">
        <v>47</v>
      </c>
      <c r="E4">
        <v>28</v>
      </c>
      <c r="F4">
        <v>5.0999999999999996</v>
      </c>
      <c r="G4">
        <v>32</v>
      </c>
      <c r="H4">
        <v>15</v>
      </c>
      <c r="I4">
        <v>88.5</v>
      </c>
      <c r="J4">
        <v>7.4</v>
      </c>
    </row>
    <row r="5" spans="1:10" x14ac:dyDescent="0.4">
      <c r="A5">
        <v>5</v>
      </c>
      <c r="B5" t="s">
        <v>10</v>
      </c>
      <c r="C5" t="s">
        <v>79</v>
      </c>
      <c r="D5">
        <v>103</v>
      </c>
      <c r="E5">
        <v>20.6</v>
      </c>
      <c r="F5">
        <v>5.9</v>
      </c>
      <c r="G5">
        <v>68</v>
      </c>
      <c r="H5">
        <v>35</v>
      </c>
      <c r="I5">
        <v>35.9</v>
      </c>
      <c r="J5">
        <v>3</v>
      </c>
    </row>
    <row r="6" spans="1:10" x14ac:dyDescent="0.4">
      <c r="A6">
        <v>6</v>
      </c>
      <c r="B6" t="s">
        <v>11</v>
      </c>
      <c r="C6" t="s">
        <v>79</v>
      </c>
      <c r="D6">
        <v>20</v>
      </c>
      <c r="E6">
        <v>28.5</v>
      </c>
      <c r="F6">
        <v>6.4</v>
      </c>
      <c r="G6">
        <v>7</v>
      </c>
      <c r="H6">
        <v>13</v>
      </c>
      <c r="I6">
        <v>12</v>
      </c>
      <c r="J6">
        <v>1</v>
      </c>
    </row>
    <row r="7" spans="1:10" x14ac:dyDescent="0.4">
      <c r="A7">
        <v>7</v>
      </c>
      <c r="B7" t="s">
        <v>12</v>
      </c>
      <c r="C7" t="s">
        <v>79</v>
      </c>
      <c r="D7">
        <v>72</v>
      </c>
      <c r="E7">
        <v>26</v>
      </c>
      <c r="F7">
        <v>5.8</v>
      </c>
      <c r="G7">
        <v>40</v>
      </c>
      <c r="H7">
        <v>32</v>
      </c>
      <c r="I7">
        <v>24</v>
      </c>
      <c r="J7">
        <v>2</v>
      </c>
    </row>
    <row r="8" spans="1:10" x14ac:dyDescent="0.4">
      <c r="A8">
        <v>9</v>
      </c>
      <c r="B8" t="s">
        <v>13</v>
      </c>
      <c r="C8" t="s">
        <v>79</v>
      </c>
      <c r="D8">
        <v>153</v>
      </c>
      <c r="E8">
        <v>34</v>
      </c>
      <c r="F8">
        <v>7.9</v>
      </c>
      <c r="G8">
        <v>89</v>
      </c>
      <c r="H8">
        <v>64</v>
      </c>
      <c r="I8">
        <v>96</v>
      </c>
      <c r="J8">
        <v>8</v>
      </c>
    </row>
    <row r="9" spans="1:10" x14ac:dyDescent="0.4">
      <c r="A9">
        <v>10</v>
      </c>
      <c r="B9" t="s">
        <v>14</v>
      </c>
      <c r="C9" t="s">
        <v>83</v>
      </c>
      <c r="D9">
        <v>60</v>
      </c>
      <c r="E9">
        <v>30.6</v>
      </c>
      <c r="F9">
        <v>8.1</v>
      </c>
      <c r="G9">
        <v>34</v>
      </c>
      <c r="H9">
        <v>26</v>
      </c>
      <c r="I9">
        <v>123</v>
      </c>
      <c r="J9">
        <v>10.3</v>
      </c>
    </row>
    <row r="10" spans="1:10" x14ac:dyDescent="0.4">
      <c r="A10">
        <v>11</v>
      </c>
      <c r="B10" t="s">
        <v>15</v>
      </c>
      <c r="C10" t="s">
        <v>79</v>
      </c>
      <c r="D10">
        <v>56</v>
      </c>
      <c r="E10">
        <v>29.2</v>
      </c>
      <c r="F10">
        <v>7</v>
      </c>
      <c r="G10">
        <v>31</v>
      </c>
      <c r="H10">
        <v>25</v>
      </c>
      <c r="I10">
        <v>36</v>
      </c>
      <c r="J10">
        <v>3</v>
      </c>
    </row>
    <row r="11" spans="1:10" x14ac:dyDescent="0.4">
      <c r="A11">
        <v>12</v>
      </c>
      <c r="B11" t="s">
        <v>16</v>
      </c>
      <c r="C11" t="s">
        <v>84</v>
      </c>
      <c r="D11">
        <v>124</v>
      </c>
      <c r="E11">
        <v>28.5</v>
      </c>
      <c r="F11">
        <v>7.6</v>
      </c>
      <c r="G11">
        <v>65</v>
      </c>
      <c r="H11">
        <v>59</v>
      </c>
      <c r="I11">
        <v>30</v>
      </c>
      <c r="J11">
        <v>2.5</v>
      </c>
    </row>
    <row r="12" spans="1:10" x14ac:dyDescent="0.4">
      <c r="A12">
        <v>13</v>
      </c>
      <c r="B12" t="s">
        <v>17</v>
      </c>
      <c r="C12" t="s">
        <v>79</v>
      </c>
      <c r="D12">
        <v>147</v>
      </c>
      <c r="E12">
        <v>27.5</v>
      </c>
      <c r="F12">
        <v>6.3</v>
      </c>
      <c r="G12">
        <v>95</v>
      </c>
      <c r="H12">
        <v>52</v>
      </c>
      <c r="I12">
        <v>197.3</v>
      </c>
      <c r="J12">
        <v>16.5</v>
      </c>
    </row>
    <row r="13" spans="1:10" x14ac:dyDescent="0.4">
      <c r="A13">
        <v>14</v>
      </c>
      <c r="B13" t="s">
        <v>18</v>
      </c>
      <c r="C13" t="s">
        <v>82</v>
      </c>
      <c r="D13">
        <v>97</v>
      </c>
      <c r="E13">
        <v>29.1</v>
      </c>
      <c r="F13">
        <v>6.6</v>
      </c>
      <c r="G13">
        <v>84</v>
      </c>
      <c r="H13">
        <v>13</v>
      </c>
      <c r="I13">
        <v>120</v>
      </c>
      <c r="J13">
        <v>10</v>
      </c>
    </row>
    <row r="14" spans="1:10" x14ac:dyDescent="0.4">
      <c r="A14">
        <v>18</v>
      </c>
      <c r="B14" t="s">
        <v>19</v>
      </c>
      <c r="C14" t="s">
        <v>84</v>
      </c>
      <c r="D14">
        <v>60</v>
      </c>
      <c r="E14">
        <v>28.5</v>
      </c>
      <c r="F14">
        <v>8.3000000000000007</v>
      </c>
      <c r="G14">
        <v>59</v>
      </c>
      <c r="H14">
        <v>1</v>
      </c>
      <c r="I14">
        <v>60</v>
      </c>
      <c r="J14">
        <v>5</v>
      </c>
    </row>
    <row r="15" spans="1:10" x14ac:dyDescent="0.4">
      <c r="A15">
        <v>19</v>
      </c>
      <c r="B15" t="s">
        <v>20</v>
      </c>
      <c r="C15" t="s">
        <v>81</v>
      </c>
      <c r="D15">
        <v>112</v>
      </c>
      <c r="E15">
        <v>28.8</v>
      </c>
      <c r="F15">
        <v>5.6</v>
      </c>
      <c r="G15">
        <v>56</v>
      </c>
      <c r="H15">
        <v>56</v>
      </c>
      <c r="I15">
        <v>24</v>
      </c>
      <c r="J15">
        <v>2</v>
      </c>
    </row>
    <row r="16" spans="1:10" x14ac:dyDescent="0.4">
      <c r="A16">
        <v>23</v>
      </c>
      <c r="B16" t="s">
        <v>21</v>
      </c>
      <c r="C16" t="s">
        <v>79</v>
      </c>
      <c r="D16">
        <v>66</v>
      </c>
      <c r="E16">
        <v>29</v>
      </c>
      <c r="F16">
        <v>4.5999999999999996</v>
      </c>
      <c r="G16">
        <v>46</v>
      </c>
      <c r="H16">
        <v>20</v>
      </c>
      <c r="I16">
        <v>24</v>
      </c>
      <c r="J16">
        <v>2</v>
      </c>
    </row>
    <row r="17" spans="1:10" x14ac:dyDescent="0.4">
      <c r="A17">
        <v>25</v>
      </c>
      <c r="B17" t="s">
        <v>22</v>
      </c>
      <c r="C17" t="s">
        <v>79</v>
      </c>
      <c r="D17">
        <v>116</v>
      </c>
      <c r="E17">
        <v>27</v>
      </c>
      <c r="F17">
        <v>7.9</v>
      </c>
      <c r="G17">
        <v>0</v>
      </c>
      <c r="H17">
        <v>0</v>
      </c>
      <c r="I17">
        <v>6.7</v>
      </c>
      <c r="J17">
        <v>0.6</v>
      </c>
    </row>
    <row r="18" spans="1:10" x14ac:dyDescent="0.4">
      <c r="A18">
        <v>26</v>
      </c>
      <c r="B18" t="s">
        <v>23</v>
      </c>
      <c r="C18" t="s">
        <v>79</v>
      </c>
      <c r="D18">
        <v>65</v>
      </c>
      <c r="E18">
        <v>26.1</v>
      </c>
      <c r="F18">
        <v>9.6999999999999993</v>
      </c>
      <c r="G18">
        <v>47</v>
      </c>
      <c r="H18">
        <v>18</v>
      </c>
      <c r="I18">
        <v>36</v>
      </c>
      <c r="J18">
        <v>3</v>
      </c>
    </row>
    <row r="19" spans="1:10" x14ac:dyDescent="0.4">
      <c r="A19">
        <v>30</v>
      </c>
      <c r="B19" t="s">
        <v>24</v>
      </c>
      <c r="C19" t="s">
        <v>79</v>
      </c>
      <c r="D19">
        <v>77</v>
      </c>
      <c r="E19">
        <v>27</v>
      </c>
      <c r="F19">
        <v>6</v>
      </c>
      <c r="G19">
        <v>0</v>
      </c>
      <c r="H19">
        <v>0</v>
      </c>
      <c r="I19">
        <v>84</v>
      </c>
      <c r="J19">
        <v>7</v>
      </c>
    </row>
    <row r="20" spans="1:10" x14ac:dyDescent="0.4">
      <c r="A20">
        <v>32</v>
      </c>
      <c r="B20" t="s">
        <v>25</v>
      </c>
      <c r="C20" t="s">
        <v>79</v>
      </c>
      <c r="D20">
        <v>62</v>
      </c>
      <c r="E20">
        <v>24.9</v>
      </c>
      <c r="F20">
        <v>6</v>
      </c>
      <c r="G20">
        <v>42</v>
      </c>
      <c r="H20">
        <v>20</v>
      </c>
      <c r="I20">
        <v>24</v>
      </c>
      <c r="J20">
        <v>2</v>
      </c>
    </row>
    <row r="21" spans="1:10" x14ac:dyDescent="0.4">
      <c r="A21">
        <v>33</v>
      </c>
      <c r="B21" t="s">
        <v>26</v>
      </c>
      <c r="C21" t="s">
        <v>79</v>
      </c>
      <c r="D21">
        <v>79</v>
      </c>
      <c r="F21">
        <v>6.7</v>
      </c>
      <c r="G21">
        <v>0</v>
      </c>
      <c r="H21">
        <v>0</v>
      </c>
      <c r="I21">
        <v>60.6</v>
      </c>
      <c r="J21">
        <v>5.0999999999999996</v>
      </c>
    </row>
    <row r="22" spans="1:10" x14ac:dyDescent="0.4">
      <c r="A22">
        <v>34</v>
      </c>
      <c r="B22" t="s">
        <v>27</v>
      </c>
      <c r="C22" t="s">
        <v>79</v>
      </c>
      <c r="D22">
        <v>68</v>
      </c>
      <c r="E22">
        <v>29.5</v>
      </c>
      <c r="F22">
        <v>5.4</v>
      </c>
      <c r="G22">
        <v>36</v>
      </c>
      <c r="H22">
        <v>32</v>
      </c>
      <c r="I22">
        <v>24.7</v>
      </c>
      <c r="J22">
        <v>2.1</v>
      </c>
    </row>
    <row r="23" spans="1:10" x14ac:dyDescent="0.4">
      <c r="A23">
        <v>35</v>
      </c>
      <c r="B23" t="s">
        <v>28</v>
      </c>
      <c r="C23" t="s">
        <v>79</v>
      </c>
      <c r="D23">
        <v>57</v>
      </c>
      <c r="E23">
        <v>35.9</v>
      </c>
      <c r="F23">
        <v>0</v>
      </c>
      <c r="G23">
        <v>33</v>
      </c>
      <c r="H23">
        <v>24</v>
      </c>
      <c r="I23">
        <v>10.5</v>
      </c>
      <c r="J23">
        <v>0.9</v>
      </c>
    </row>
    <row r="24" spans="1:10" x14ac:dyDescent="0.4">
      <c r="A24">
        <v>36</v>
      </c>
      <c r="B24" t="s">
        <v>29</v>
      </c>
      <c r="C24" t="s">
        <v>81</v>
      </c>
      <c r="D24">
        <v>51</v>
      </c>
      <c r="E24">
        <v>28.4</v>
      </c>
      <c r="F24">
        <v>8</v>
      </c>
      <c r="G24">
        <v>33</v>
      </c>
      <c r="H24">
        <v>18</v>
      </c>
      <c r="I24">
        <v>24</v>
      </c>
      <c r="J24">
        <v>2</v>
      </c>
    </row>
    <row r="25" spans="1:10" x14ac:dyDescent="0.4">
      <c r="A25">
        <v>37</v>
      </c>
      <c r="B25" t="s">
        <v>30</v>
      </c>
      <c r="C25" t="s">
        <v>79</v>
      </c>
      <c r="D25">
        <v>86</v>
      </c>
      <c r="E25">
        <v>22.3</v>
      </c>
      <c r="F25">
        <v>8</v>
      </c>
      <c r="G25">
        <v>86</v>
      </c>
      <c r="H25">
        <v>0</v>
      </c>
      <c r="I25">
        <v>81</v>
      </c>
      <c r="J25">
        <v>6.8</v>
      </c>
    </row>
    <row r="26" spans="1:10" x14ac:dyDescent="0.4">
      <c r="A26">
        <v>38</v>
      </c>
      <c r="B26" t="s">
        <v>31</v>
      </c>
      <c r="C26" t="s">
        <v>79</v>
      </c>
      <c r="D26">
        <v>20</v>
      </c>
      <c r="E26">
        <v>25.8</v>
      </c>
      <c r="F26">
        <v>9.6</v>
      </c>
      <c r="G26">
        <v>20</v>
      </c>
      <c r="H26">
        <v>0</v>
      </c>
      <c r="I26">
        <v>9</v>
      </c>
      <c r="J26">
        <v>0.8</v>
      </c>
    </row>
    <row r="27" spans="1:10" x14ac:dyDescent="0.4">
      <c r="A27">
        <v>41</v>
      </c>
      <c r="B27" t="s">
        <v>32</v>
      </c>
      <c r="C27" t="s">
        <v>79</v>
      </c>
      <c r="D27">
        <v>89</v>
      </c>
      <c r="F27">
        <v>3.9</v>
      </c>
      <c r="G27">
        <v>0</v>
      </c>
      <c r="H27">
        <v>0</v>
      </c>
      <c r="I27">
        <v>24</v>
      </c>
      <c r="J27">
        <v>2</v>
      </c>
    </row>
    <row r="28" spans="1:10" x14ac:dyDescent="0.4">
      <c r="A28">
        <v>43</v>
      </c>
      <c r="B28" t="s">
        <v>33</v>
      </c>
      <c r="C28" t="s">
        <v>79</v>
      </c>
      <c r="D28">
        <v>147</v>
      </c>
      <c r="E28">
        <v>26</v>
      </c>
      <c r="F28">
        <v>6.1</v>
      </c>
      <c r="G28">
        <v>0</v>
      </c>
      <c r="H28">
        <v>147</v>
      </c>
      <c r="I28">
        <v>24</v>
      </c>
      <c r="J28">
        <v>2</v>
      </c>
    </row>
    <row r="29" spans="1:10" x14ac:dyDescent="0.4">
      <c r="A29">
        <v>44</v>
      </c>
      <c r="B29" t="s">
        <v>34</v>
      </c>
      <c r="C29" t="s">
        <v>83</v>
      </c>
      <c r="D29">
        <v>72</v>
      </c>
      <c r="E29">
        <v>30.4</v>
      </c>
      <c r="F29">
        <v>0</v>
      </c>
      <c r="G29">
        <v>44</v>
      </c>
      <c r="H29">
        <v>36</v>
      </c>
      <c r="I29">
        <v>28</v>
      </c>
      <c r="J29">
        <v>2.2999999999999998</v>
      </c>
    </row>
    <row r="30" spans="1:10" x14ac:dyDescent="0.4">
      <c r="A30">
        <v>45</v>
      </c>
      <c r="B30" t="s">
        <v>35</v>
      </c>
      <c r="C30" t="s">
        <v>79</v>
      </c>
      <c r="D30">
        <v>62</v>
      </c>
      <c r="E30">
        <v>29.8</v>
      </c>
      <c r="F30">
        <v>6.3</v>
      </c>
      <c r="G30">
        <v>45</v>
      </c>
      <c r="H30">
        <v>17</v>
      </c>
      <c r="I30">
        <v>120</v>
      </c>
      <c r="J30">
        <v>10</v>
      </c>
    </row>
    <row r="31" spans="1:10" x14ac:dyDescent="0.4">
      <c r="A31">
        <v>46</v>
      </c>
      <c r="B31" t="s">
        <v>36</v>
      </c>
      <c r="C31" t="s">
        <v>79</v>
      </c>
      <c r="D31">
        <v>28</v>
      </c>
      <c r="E31">
        <v>29.3</v>
      </c>
      <c r="F31">
        <v>9.4</v>
      </c>
      <c r="G31">
        <v>0</v>
      </c>
      <c r="H31">
        <v>0</v>
      </c>
      <c r="I31">
        <v>19</v>
      </c>
      <c r="J31">
        <v>1.6</v>
      </c>
    </row>
    <row r="32" spans="1:10" x14ac:dyDescent="0.4">
      <c r="A32">
        <v>47</v>
      </c>
      <c r="B32" t="s">
        <v>37</v>
      </c>
      <c r="C32" t="s">
        <v>82</v>
      </c>
      <c r="D32">
        <v>92</v>
      </c>
      <c r="E32">
        <v>32.5</v>
      </c>
      <c r="F32">
        <v>6.3</v>
      </c>
      <c r="G32">
        <v>70</v>
      </c>
      <c r="H32">
        <v>32</v>
      </c>
      <c r="I32">
        <v>24</v>
      </c>
      <c r="J32">
        <v>2</v>
      </c>
    </row>
    <row r="33" spans="1:10" x14ac:dyDescent="0.4">
      <c r="A33">
        <v>49</v>
      </c>
      <c r="B33" t="s">
        <v>38</v>
      </c>
      <c r="C33" t="s">
        <v>79</v>
      </c>
      <c r="D33">
        <v>118</v>
      </c>
      <c r="E33">
        <v>26.5</v>
      </c>
      <c r="F33">
        <v>8.9</v>
      </c>
      <c r="G33">
        <v>0</v>
      </c>
      <c r="H33">
        <v>0</v>
      </c>
      <c r="I33">
        <v>26</v>
      </c>
      <c r="J33">
        <v>2.2000000000000002</v>
      </c>
    </row>
    <row r="34" spans="1:10" x14ac:dyDescent="0.4">
      <c r="A34">
        <v>51</v>
      </c>
      <c r="B34" t="s">
        <v>39</v>
      </c>
      <c r="C34" t="s">
        <v>82</v>
      </c>
      <c r="D34">
        <v>64</v>
      </c>
      <c r="E34">
        <v>30.2</v>
      </c>
      <c r="F34">
        <v>8.3000000000000007</v>
      </c>
      <c r="G34">
        <v>32</v>
      </c>
      <c r="H34">
        <v>32</v>
      </c>
      <c r="I34">
        <v>71.400000000000006</v>
      </c>
      <c r="J34">
        <v>6</v>
      </c>
    </row>
    <row r="35" spans="1:10" x14ac:dyDescent="0.4">
      <c r="A35">
        <v>52</v>
      </c>
      <c r="B35" t="s">
        <v>40</v>
      </c>
      <c r="C35" t="s">
        <v>79</v>
      </c>
      <c r="D35">
        <v>71</v>
      </c>
      <c r="E35">
        <v>28.5</v>
      </c>
      <c r="F35">
        <v>6.8</v>
      </c>
      <c r="G35">
        <v>49</v>
      </c>
      <c r="H35">
        <v>22</v>
      </c>
      <c r="I35">
        <v>87.1</v>
      </c>
      <c r="J35">
        <v>7.3</v>
      </c>
    </row>
    <row r="36" spans="1:10" x14ac:dyDescent="0.4">
      <c r="A36">
        <v>53</v>
      </c>
      <c r="B36" t="s">
        <v>41</v>
      </c>
      <c r="C36" t="s">
        <v>81</v>
      </c>
      <c r="D36">
        <v>96</v>
      </c>
      <c r="E36">
        <v>27.2</v>
      </c>
      <c r="F36">
        <v>7</v>
      </c>
      <c r="G36">
        <v>54</v>
      </c>
      <c r="H36">
        <v>45</v>
      </c>
      <c r="I36">
        <v>24</v>
      </c>
      <c r="J36">
        <v>2</v>
      </c>
    </row>
    <row r="37" spans="1:10" x14ac:dyDescent="0.4">
      <c r="A37">
        <v>54</v>
      </c>
      <c r="B37" t="s">
        <v>42</v>
      </c>
      <c r="C37" t="s">
        <v>79</v>
      </c>
      <c r="D37">
        <v>39</v>
      </c>
      <c r="E37">
        <v>53.7</v>
      </c>
      <c r="F37">
        <v>9.4</v>
      </c>
      <c r="G37">
        <v>0</v>
      </c>
      <c r="H37">
        <v>0</v>
      </c>
      <c r="I37">
        <v>240</v>
      </c>
      <c r="J37">
        <v>20</v>
      </c>
    </row>
    <row r="38" spans="1:10" x14ac:dyDescent="0.4">
      <c r="A38">
        <v>55</v>
      </c>
      <c r="B38" t="s">
        <v>43</v>
      </c>
      <c r="C38" t="s">
        <v>79</v>
      </c>
      <c r="D38">
        <v>55</v>
      </c>
      <c r="E38">
        <v>25.5</v>
      </c>
      <c r="F38">
        <v>11.9</v>
      </c>
      <c r="G38">
        <v>55</v>
      </c>
      <c r="H38">
        <v>0</v>
      </c>
      <c r="I38">
        <v>12</v>
      </c>
      <c r="J38">
        <v>1</v>
      </c>
    </row>
    <row r="39" spans="1:10" x14ac:dyDescent="0.4">
      <c r="A39">
        <v>56</v>
      </c>
      <c r="B39" t="s">
        <v>44</v>
      </c>
      <c r="C39" t="s">
        <v>83</v>
      </c>
      <c r="D39">
        <v>39</v>
      </c>
      <c r="E39">
        <v>30.5</v>
      </c>
      <c r="F39">
        <v>14.7</v>
      </c>
      <c r="G39">
        <v>32</v>
      </c>
      <c r="H39">
        <v>7</v>
      </c>
      <c r="I39">
        <v>24</v>
      </c>
      <c r="J39">
        <v>2</v>
      </c>
    </row>
    <row r="40" spans="1:10" x14ac:dyDescent="0.4">
      <c r="A40">
        <v>58</v>
      </c>
      <c r="B40" t="s">
        <v>45</v>
      </c>
      <c r="C40" t="s">
        <v>84</v>
      </c>
      <c r="D40">
        <v>50</v>
      </c>
      <c r="E40">
        <v>28</v>
      </c>
      <c r="F40">
        <v>4.7</v>
      </c>
      <c r="G40">
        <v>35</v>
      </c>
      <c r="H40">
        <v>15</v>
      </c>
      <c r="I40">
        <v>6</v>
      </c>
      <c r="J40">
        <v>0.5</v>
      </c>
    </row>
    <row r="41" spans="1:10" x14ac:dyDescent="0.4">
      <c r="A41">
        <v>62</v>
      </c>
      <c r="B41" t="s">
        <v>46</v>
      </c>
      <c r="C41" t="s">
        <v>79</v>
      </c>
      <c r="D41">
        <v>72</v>
      </c>
      <c r="E41">
        <v>24.1</v>
      </c>
      <c r="F41">
        <v>8.5</v>
      </c>
      <c r="G41">
        <v>41</v>
      </c>
      <c r="H41">
        <v>31</v>
      </c>
      <c r="I41">
        <v>83.9</v>
      </c>
      <c r="J41">
        <v>7</v>
      </c>
    </row>
    <row r="42" spans="1:10" x14ac:dyDescent="0.4">
      <c r="A42">
        <v>66</v>
      </c>
      <c r="B42" t="s">
        <v>47</v>
      </c>
      <c r="C42" t="s">
        <v>79</v>
      </c>
      <c r="D42">
        <v>330</v>
      </c>
      <c r="E42">
        <v>28.5</v>
      </c>
      <c r="F42">
        <v>6.5</v>
      </c>
      <c r="G42">
        <v>179</v>
      </c>
      <c r="H42">
        <v>151</v>
      </c>
      <c r="I42">
        <v>24</v>
      </c>
      <c r="J42">
        <v>2</v>
      </c>
    </row>
    <row r="43" spans="1:10" x14ac:dyDescent="0.4">
      <c r="A43">
        <v>68</v>
      </c>
      <c r="B43" t="s">
        <v>48</v>
      </c>
      <c r="C43" t="s">
        <v>79</v>
      </c>
      <c r="D43">
        <v>12</v>
      </c>
      <c r="E43">
        <v>23.5</v>
      </c>
      <c r="F43">
        <v>9.6</v>
      </c>
      <c r="G43">
        <v>12</v>
      </c>
      <c r="H43">
        <v>0</v>
      </c>
      <c r="I43">
        <v>23</v>
      </c>
      <c r="J43">
        <v>2</v>
      </c>
    </row>
    <row r="44" spans="1:10" x14ac:dyDescent="0.4">
      <c r="A44">
        <v>70</v>
      </c>
      <c r="B44" t="s">
        <v>49</v>
      </c>
      <c r="C44" t="s">
        <v>80</v>
      </c>
      <c r="D44">
        <v>65</v>
      </c>
      <c r="E44">
        <v>25.7</v>
      </c>
      <c r="F44">
        <v>9.8000000000000007</v>
      </c>
      <c r="G44">
        <v>56</v>
      </c>
      <c r="H44">
        <v>9</v>
      </c>
      <c r="I44">
        <v>29.9</v>
      </c>
      <c r="J44">
        <v>2.5</v>
      </c>
    </row>
    <row r="45" spans="1:10" x14ac:dyDescent="0.4">
      <c r="A45">
        <v>73</v>
      </c>
      <c r="B45" t="s">
        <v>50</v>
      </c>
      <c r="C45" t="s">
        <v>79</v>
      </c>
      <c r="D45">
        <v>40</v>
      </c>
      <c r="E45">
        <v>25.1</v>
      </c>
      <c r="F45">
        <v>2.5</v>
      </c>
      <c r="G45">
        <v>0</v>
      </c>
      <c r="H45">
        <v>40</v>
      </c>
      <c r="I45">
        <v>6</v>
      </c>
      <c r="J45">
        <v>0.5</v>
      </c>
    </row>
    <row r="46" spans="1:10" x14ac:dyDescent="0.4">
      <c r="A46">
        <v>76</v>
      </c>
      <c r="B46" t="s">
        <v>51</v>
      </c>
      <c r="C46" t="s">
        <v>79</v>
      </c>
      <c r="D46">
        <v>180</v>
      </c>
      <c r="E46">
        <v>24.5</v>
      </c>
      <c r="F46">
        <v>7.9</v>
      </c>
      <c r="G46">
        <v>95</v>
      </c>
      <c r="H46">
        <v>85</v>
      </c>
      <c r="I46">
        <v>120</v>
      </c>
      <c r="J46">
        <v>10</v>
      </c>
    </row>
    <row r="47" spans="1:10" x14ac:dyDescent="0.4">
      <c r="A47">
        <v>77</v>
      </c>
      <c r="B47" t="s">
        <v>52</v>
      </c>
      <c r="C47" t="s">
        <v>79</v>
      </c>
      <c r="D47">
        <v>144</v>
      </c>
      <c r="E47">
        <v>27</v>
      </c>
      <c r="F47">
        <v>0.4</v>
      </c>
      <c r="G47">
        <v>0</v>
      </c>
      <c r="H47">
        <v>0</v>
      </c>
      <c r="I47">
        <v>228</v>
      </c>
      <c r="J47">
        <v>19</v>
      </c>
    </row>
    <row r="48" spans="1:10" x14ac:dyDescent="0.4">
      <c r="A48">
        <v>82</v>
      </c>
      <c r="B48" t="s">
        <v>53</v>
      </c>
      <c r="C48" t="s">
        <v>79</v>
      </c>
      <c r="D48">
        <v>48</v>
      </c>
      <c r="E48">
        <v>44</v>
      </c>
      <c r="F48">
        <v>6.8</v>
      </c>
      <c r="G48">
        <v>28</v>
      </c>
      <c r="H48">
        <v>20</v>
      </c>
      <c r="I48">
        <v>204</v>
      </c>
      <c r="J48">
        <v>17</v>
      </c>
    </row>
    <row r="49" spans="1:10" x14ac:dyDescent="0.4">
      <c r="A49">
        <v>84</v>
      </c>
      <c r="B49" t="s">
        <v>54</v>
      </c>
      <c r="C49" t="s">
        <v>81</v>
      </c>
      <c r="D49">
        <v>85</v>
      </c>
      <c r="E49">
        <v>28.5</v>
      </c>
      <c r="F49">
        <v>6.5</v>
      </c>
      <c r="G49">
        <v>48</v>
      </c>
      <c r="H49">
        <v>37</v>
      </c>
      <c r="I49">
        <v>12.5</v>
      </c>
      <c r="J49">
        <v>1</v>
      </c>
    </row>
    <row r="50" spans="1:10" x14ac:dyDescent="0.4">
      <c r="A50">
        <v>85</v>
      </c>
      <c r="B50" t="s">
        <v>55</v>
      </c>
      <c r="C50" t="s">
        <v>79</v>
      </c>
      <c r="D50">
        <v>64</v>
      </c>
      <c r="E50">
        <v>17.7</v>
      </c>
      <c r="F50">
        <v>8.1999999999999993</v>
      </c>
      <c r="G50">
        <v>28</v>
      </c>
      <c r="H50">
        <v>36</v>
      </c>
      <c r="I50">
        <v>24</v>
      </c>
      <c r="J50">
        <v>2</v>
      </c>
    </row>
    <row r="51" spans="1:10" x14ac:dyDescent="0.4">
      <c r="A51">
        <v>87</v>
      </c>
      <c r="B51" t="s">
        <v>56</v>
      </c>
      <c r="C51" t="s">
        <v>79</v>
      </c>
      <c r="D51">
        <v>556</v>
      </c>
      <c r="E51">
        <v>25</v>
      </c>
      <c r="F51">
        <v>6.3</v>
      </c>
      <c r="G51">
        <v>447</v>
      </c>
      <c r="H51">
        <v>109</v>
      </c>
      <c r="I51">
        <v>62.7</v>
      </c>
      <c r="J51">
        <v>5.2</v>
      </c>
    </row>
    <row r="52" spans="1:10" x14ac:dyDescent="0.4">
      <c r="A52">
        <v>89</v>
      </c>
      <c r="B52" t="s">
        <v>57</v>
      </c>
      <c r="C52" t="s">
        <v>81</v>
      </c>
      <c r="D52">
        <v>33</v>
      </c>
      <c r="E52">
        <v>28.2</v>
      </c>
      <c r="F52">
        <v>2.4</v>
      </c>
      <c r="G52">
        <v>30</v>
      </c>
      <c r="H52">
        <v>3</v>
      </c>
      <c r="I52">
        <v>24</v>
      </c>
      <c r="J52">
        <v>2</v>
      </c>
    </row>
    <row r="53" spans="1:10" x14ac:dyDescent="0.4">
      <c r="A53">
        <v>90</v>
      </c>
      <c r="B53" t="s">
        <v>58</v>
      </c>
      <c r="C53" t="s">
        <v>79</v>
      </c>
      <c r="D53">
        <v>64</v>
      </c>
      <c r="E53">
        <v>21.9</v>
      </c>
      <c r="F53">
        <v>4.5</v>
      </c>
      <c r="G53">
        <v>53</v>
      </c>
      <c r="H53">
        <v>11</v>
      </c>
      <c r="I53">
        <v>35.4</v>
      </c>
      <c r="J53">
        <v>3</v>
      </c>
    </row>
    <row r="54" spans="1:10" x14ac:dyDescent="0.4">
      <c r="A54">
        <v>93</v>
      </c>
      <c r="B54" t="s">
        <v>59</v>
      </c>
      <c r="C54" t="s">
        <v>81</v>
      </c>
      <c r="D54">
        <v>28</v>
      </c>
      <c r="E54">
        <v>24.5</v>
      </c>
      <c r="F54">
        <v>7.3</v>
      </c>
      <c r="G54">
        <v>23</v>
      </c>
      <c r="H54">
        <v>6</v>
      </c>
      <c r="I54">
        <v>12</v>
      </c>
      <c r="J54">
        <v>1</v>
      </c>
    </row>
    <row r="55" spans="1:10" x14ac:dyDescent="0.4">
      <c r="A55">
        <v>95</v>
      </c>
      <c r="B55" t="s">
        <v>60</v>
      </c>
      <c r="C55" t="s">
        <v>79</v>
      </c>
      <c r="D55">
        <v>61</v>
      </c>
      <c r="E55">
        <v>26.5</v>
      </c>
      <c r="F55">
        <v>5.6</v>
      </c>
      <c r="G55">
        <v>43</v>
      </c>
      <c r="H55">
        <v>18</v>
      </c>
      <c r="I55">
        <v>24</v>
      </c>
      <c r="J55">
        <v>2</v>
      </c>
    </row>
    <row r="56" spans="1:10" x14ac:dyDescent="0.4">
      <c r="A56">
        <v>96</v>
      </c>
      <c r="B56" t="s">
        <v>61</v>
      </c>
      <c r="C56" t="s">
        <v>79</v>
      </c>
      <c r="D56">
        <v>62</v>
      </c>
      <c r="E56">
        <v>32.1</v>
      </c>
      <c r="F56">
        <v>8.5</v>
      </c>
      <c r="G56">
        <v>37</v>
      </c>
      <c r="H56">
        <v>25</v>
      </c>
      <c r="I56">
        <v>108</v>
      </c>
      <c r="J56">
        <v>9</v>
      </c>
    </row>
    <row r="57" spans="1:10" x14ac:dyDescent="0.4">
      <c r="A57">
        <v>97</v>
      </c>
      <c r="B57" t="s">
        <v>62</v>
      </c>
      <c r="C57" t="s">
        <v>81</v>
      </c>
      <c r="D57">
        <v>69</v>
      </c>
      <c r="E57">
        <v>29.4</v>
      </c>
      <c r="F57">
        <v>6.2</v>
      </c>
      <c r="G57">
        <v>62</v>
      </c>
      <c r="H57">
        <v>7</v>
      </c>
      <c r="I57">
        <v>12</v>
      </c>
      <c r="J57">
        <v>1</v>
      </c>
    </row>
    <row r="58" spans="1:10" x14ac:dyDescent="0.4">
      <c r="A58">
        <v>98</v>
      </c>
      <c r="B58" t="s">
        <v>63</v>
      </c>
      <c r="C58" t="s">
        <v>82</v>
      </c>
      <c r="D58">
        <v>132</v>
      </c>
      <c r="E58">
        <v>27</v>
      </c>
      <c r="F58">
        <v>8.6</v>
      </c>
      <c r="G58">
        <v>120</v>
      </c>
      <c r="H58">
        <v>12</v>
      </c>
      <c r="I58">
        <v>33.700000000000003</v>
      </c>
      <c r="J58">
        <v>2.8</v>
      </c>
    </row>
    <row r="59" spans="1:10" x14ac:dyDescent="0.4">
      <c r="A59">
        <v>100</v>
      </c>
      <c r="B59" t="s">
        <v>64</v>
      </c>
      <c r="C59" t="s">
        <v>79</v>
      </c>
      <c r="D59">
        <v>79</v>
      </c>
      <c r="E59">
        <v>26.5</v>
      </c>
      <c r="F59">
        <v>8.8000000000000007</v>
      </c>
      <c r="G59">
        <v>42</v>
      </c>
      <c r="H59">
        <v>37</v>
      </c>
      <c r="I59">
        <v>103.2</v>
      </c>
      <c r="J59">
        <v>8.6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10</vt:i4>
      </vt:variant>
    </vt:vector>
  </HeadingPairs>
  <TitlesOfParts>
    <vt:vector size="12" baseType="lpstr">
      <vt:lpstr>Sheet1</vt:lpstr>
      <vt:lpstr>Sheet2</vt:lpstr>
      <vt:lpstr>age_mean</vt:lpstr>
      <vt:lpstr>age_sd</vt:lpstr>
      <vt:lpstr>female</vt:lpstr>
      <vt:lpstr>follow_up_mo</vt:lpstr>
      <vt:lpstr>follow_up_yr</vt:lpstr>
      <vt:lpstr>id</vt:lpstr>
      <vt:lpstr>male</vt:lpstr>
      <vt:lpstr>study</vt:lpstr>
      <vt:lpstr>subgroup</vt:lpstr>
      <vt:lpstr>total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Danny</dc:creator>
  <cp:lastModifiedBy>Danny</cp:lastModifiedBy>
  <dcterms:created xsi:type="dcterms:W3CDTF">2026-09-23T07:26:21Z</dcterms:created>
  <dcterms:modified xsi:type="dcterms:W3CDTF">2026-09-23T08:58:49Z</dcterms:modified>
</cp:coreProperties>
</file>